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1 stuff\"/>
    </mc:Choice>
  </mc:AlternateContent>
  <xr:revisionPtr revIDLastSave="0" documentId="13_ncr:2001_{BF13D256-7795-4744-AA1A-A4F7DF392F42}" xr6:coauthVersionLast="47" xr6:coauthVersionMax="47" xr10:uidLastSave="{00000000-0000-0000-0000-000000000000}"/>
  <bookViews>
    <workbookView xWindow="-98" yWindow="-98" windowWidth="21795" windowHeight="12975" xr2:uid="{FC03E70E-1F95-4316-9935-FD8E923B0CA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I45" i="1"/>
  <c r="H45" i="1"/>
  <c r="I36" i="1"/>
  <c r="I37" i="1"/>
  <c r="I38" i="1"/>
  <c r="I39" i="1"/>
  <c r="I40" i="1"/>
  <c r="I41" i="1"/>
  <c r="I42" i="1"/>
  <c r="I43" i="1"/>
  <c r="I35" i="1"/>
  <c r="I73" i="1"/>
  <c r="I74" i="1"/>
  <c r="I75" i="1"/>
  <c r="I76" i="1"/>
  <c r="I77" i="1"/>
  <c r="I78" i="1"/>
  <c r="I79" i="1"/>
  <c r="I72" i="1"/>
  <c r="O31" i="1"/>
  <c r="N30" i="1"/>
  <c r="K30" i="1"/>
  <c r="L49" i="1"/>
  <c r="L48" i="1"/>
  <c r="K39" i="1"/>
  <c r="K38" i="1"/>
  <c r="E48" i="1"/>
  <c r="E47" i="1"/>
  <c r="E46" i="1"/>
  <c r="E44" i="1"/>
  <c r="J36" i="1"/>
  <c r="N20" i="1"/>
  <c r="N21" i="1"/>
  <c r="N22" i="1"/>
  <c r="N23" i="1"/>
  <c r="N24" i="1"/>
  <c r="N25" i="1"/>
  <c r="N26" i="1"/>
  <c r="N27" i="1"/>
  <c r="M20" i="1"/>
  <c r="M21" i="1"/>
  <c r="M22" i="1"/>
  <c r="M23" i="1"/>
  <c r="M24" i="1"/>
  <c r="M25" i="1"/>
  <c r="M26" i="1"/>
  <c r="M27" i="1"/>
  <c r="N19" i="1"/>
  <c r="M19" i="1"/>
  <c r="P19" i="1"/>
  <c r="K27" i="1"/>
  <c r="K20" i="1"/>
  <c r="K21" i="1"/>
  <c r="K22" i="1"/>
  <c r="K23" i="1"/>
  <c r="K24" i="1"/>
  <c r="K25" i="1"/>
  <c r="K26" i="1"/>
  <c r="K19" i="1"/>
</calcChain>
</file>

<file path=xl/sharedStrings.xml><?xml version="1.0" encoding="utf-8"?>
<sst xmlns="http://schemas.openxmlformats.org/spreadsheetml/2006/main" count="67" uniqueCount="50">
  <si>
    <t xml:space="preserve">Experiment Round 1 </t>
  </si>
  <si>
    <t>21/01/2026 at 12:30pm</t>
  </si>
  <si>
    <t>rounds at Y= 0.5 V</t>
  </si>
  <si>
    <t>Experiment Round 2</t>
  </si>
  <si>
    <t xml:space="preserve">at 3:45pm </t>
  </si>
  <si>
    <t>Experiment Round 3</t>
  </si>
  <si>
    <t xml:space="preserve">at 4:00 pm </t>
  </si>
  <si>
    <t xml:space="preserve">Experiment Round 4 </t>
  </si>
  <si>
    <t xml:space="preserve">23/01/2026 at 10:55am </t>
  </si>
  <si>
    <t>round 1</t>
  </si>
  <si>
    <t>round 2</t>
  </si>
  <si>
    <t>round 3</t>
  </si>
  <si>
    <t>round 4</t>
  </si>
  <si>
    <t>round 5</t>
  </si>
  <si>
    <t>round 6</t>
  </si>
  <si>
    <t>Frequency (In MHz)</t>
  </si>
  <si>
    <t xml:space="preserve">I naught (in ampere) </t>
  </si>
  <si>
    <t xml:space="preserve">I mod (in ampere) </t>
  </si>
  <si>
    <t>I naught (A)</t>
  </si>
  <si>
    <t>I mod (A)</t>
  </si>
  <si>
    <t xml:space="preserve">- </t>
  </si>
  <si>
    <t>-</t>
  </si>
  <si>
    <t>all +- 1mA</t>
  </si>
  <si>
    <t>Average of round 4-6</t>
  </si>
  <si>
    <t xml:space="preserve">Obtaining B naught from I naught </t>
  </si>
  <si>
    <t>mu naught =</t>
  </si>
  <si>
    <t>n(number of turns)=</t>
  </si>
  <si>
    <t>R=</t>
  </si>
  <si>
    <t>relevant constants (in SI UNITS)</t>
  </si>
  <si>
    <t>in MT</t>
  </si>
  <si>
    <t xml:space="preserve">Values for Plotting the graph </t>
  </si>
  <si>
    <t>f</t>
  </si>
  <si>
    <t>mT</t>
  </si>
  <si>
    <t xml:space="preserve">k= 26.782 MHz/mT </t>
  </si>
  <si>
    <t>gs=</t>
  </si>
  <si>
    <t xml:space="preserve">Individual round wise plots </t>
  </si>
  <si>
    <t>correlation coeff between B and f=</t>
  </si>
  <si>
    <t>(value using a more precise value of k)</t>
  </si>
  <si>
    <t xml:space="preserve">Round 4 </t>
  </si>
  <si>
    <t>I naught</t>
  </si>
  <si>
    <t>f (in Mhz)</t>
  </si>
  <si>
    <t xml:space="preserve">Round 5 </t>
  </si>
  <si>
    <t>Round 6</t>
  </si>
  <si>
    <t xml:space="preserve">k=0.0373 nt/MHz </t>
  </si>
  <si>
    <t xml:space="preserve">calcution for f vs B graph </t>
  </si>
  <si>
    <t>calculation for B vs f graph</t>
  </si>
  <si>
    <t xml:space="preserve">mean I = </t>
  </si>
  <si>
    <t>relative error</t>
  </si>
  <si>
    <t>avg B in mT</t>
  </si>
  <si>
    <t>therefore avg error=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</si>
</sst>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0" xfId="0" applyFont="1" applyFill="1"/>
    <xf numFmtId="0" fontId="1" fillId="8" borderId="0" xfId="0" applyFont="1" applyFill="1"/>
    <xf numFmtId="164" fontId="0" fillId="0" borderId="0" xfId="0" applyNumberFormat="1"/>
    <xf numFmtId="0" fontId="0" fillId="9" borderId="0" xfId="0" applyFill="1"/>
    <xf numFmtId="0" fontId="0" fillId="10" borderId="0" xfId="0" applyFill="1"/>
    <xf numFmtId="0" fontId="1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</a:t>
            </a:r>
            <a:r>
              <a:rPr lang="en-IN" baseline="0"/>
              <a:t> vs f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6569591704957"/>
          <c:y val="0.13671692804498997"/>
          <c:w val="0.68693996192463302"/>
          <c:h val="0.6999035522549123"/>
        </c:manualLayout>
      </c:layout>
      <c:scatterChart>
        <c:scatterStyle val="lineMarker"/>
        <c:varyColors val="0"/>
        <c:ser>
          <c:idx val="0"/>
          <c:order val="0"/>
          <c:tx>
            <c:v>Data Points with error bars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6350">
                <a:solidFill>
                  <a:srgbClr val="00B0F0">
                    <a:alpha val="96000"/>
                  </a:srgbClr>
                </a:solidFill>
              </a:ln>
              <a:effectLst/>
            </c:spPr>
          </c:marker>
          <c:trendline>
            <c:name>Linear fit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"/>
            <c:backward val="25"/>
            <c:dispRSqr val="1"/>
            <c:dispEq val="1"/>
            <c:trendlineLbl>
              <c:layout>
                <c:manualLayout>
                  <c:x val="6.3567551669632835E-2"/>
                  <c:y val="-0.147879425854707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1.6900000000000005E-2"/>
            <c:spPr>
              <a:noFill/>
              <a:ln w="19050" cap="sq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Sheet1!$G$35:$G$43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Sheet1!$H$35:$H$43</c:f>
              <c:numCache>
                <c:formatCode>General</c:formatCode>
                <c:ptCount val="9"/>
                <c:pt idx="0">
                  <c:v>1.1836269486982198</c:v>
                </c:pt>
                <c:pt idx="1">
                  <c:v>1.3413491471442012</c:v>
                </c:pt>
                <c:pt idx="2">
                  <c:v>1.5218060768977111</c:v>
                </c:pt>
                <c:pt idx="3">
                  <c:v>1.6994211652377806</c:v>
                </c:pt>
                <c:pt idx="4">
                  <c:v>1.9111383505391426</c:v>
                </c:pt>
                <c:pt idx="5">
                  <c:v>2.0944371217060938</c:v>
                </c:pt>
                <c:pt idx="6">
                  <c:v>2.2720522100461626</c:v>
                </c:pt>
                <c:pt idx="7">
                  <c:v>2.4922949195878483</c:v>
                </c:pt>
                <c:pt idx="8">
                  <c:v>2.6443334352069474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4-4BE1-B251-C6FDDB31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291823"/>
        <c:axId val="288310063"/>
      </c:scatterChart>
      <c:valAx>
        <c:axId val="28829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</a:t>
                </a:r>
                <a:r>
                  <a:rPr lang="en-IN" baseline="0"/>
                  <a:t> (in MHz)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10063"/>
        <c:crosses val="autoZero"/>
        <c:crossBetween val="midCat"/>
      </c:valAx>
      <c:valAx>
        <c:axId val="2883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</a:t>
                </a:r>
                <a:r>
                  <a:rPr lang="en-IN" baseline="0"/>
                  <a:t> (in mT)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9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21108189296177"/>
          <c:y val="0.42690448016174659"/>
          <c:w val="0.17345429186042396"/>
          <c:h val="0.272388251203218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Round</a:t>
            </a:r>
            <a:r>
              <a:rPr lang="en-IN" baseline="0"/>
              <a:t> 4</a:t>
            </a:r>
            <a:endParaRPr lang="en-IN"/>
          </a:p>
        </c:rich>
      </c:tx>
      <c:layout>
        <c:manualLayout>
          <c:xMode val="edge"/>
          <c:yMode val="edge"/>
          <c:x val="0.41757512140258746"/>
          <c:y val="2.1708282569995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524455131984531"/>
          <c:y val="0.12320246259535807"/>
          <c:w val="0.84985778346689356"/>
          <c:h val="0.6752198119177039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461942257217846E-2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Sheet1!$A$71:$A$79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Sheet1!$B$71:$B$79</c:f>
              <c:numCache>
                <c:formatCode>General</c:formatCode>
                <c:ptCount val="9"/>
                <c:pt idx="0">
                  <c:v>0.29199999999999998</c:v>
                </c:pt>
                <c:pt idx="1">
                  <c:v>0.32600000000000001</c:v>
                </c:pt>
                <c:pt idx="2">
                  <c:v>0.36499999999999999</c:v>
                </c:pt>
                <c:pt idx="3">
                  <c:v>0.40699999999999997</c:v>
                </c:pt>
                <c:pt idx="4">
                  <c:v>0.46</c:v>
                </c:pt>
                <c:pt idx="5">
                  <c:v>0.501</c:v>
                </c:pt>
                <c:pt idx="6">
                  <c:v>0.54600000000000004</c:v>
                </c:pt>
                <c:pt idx="7">
                  <c:v>0.60099999999999998</c:v>
                </c:pt>
                <c:pt idx="8">
                  <c:v>0.63100000000000001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5-442E-9F54-9F3BFB0A9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242911"/>
        <c:axId val="874243391"/>
      </c:scatterChart>
      <c:valAx>
        <c:axId val="87424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</a:t>
                </a:r>
                <a:r>
                  <a:rPr lang="en-IN" baseline="0"/>
                  <a:t> (in MHz)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43391"/>
        <c:crosses val="autoZero"/>
        <c:crossBetween val="midCat"/>
      </c:valAx>
      <c:valAx>
        <c:axId val="8742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</a:t>
                </a:r>
                <a:r>
                  <a:rPr lang="en-IN" baseline="0"/>
                  <a:t> (in 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4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Round</a:t>
            </a:r>
            <a:r>
              <a:rPr lang="en-IN" baseline="0"/>
              <a:t> 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656160567606557"/>
          <c:y val="0.12541666666666668"/>
          <c:w val="0.85021598827630562"/>
          <c:h val="0.6693828375619714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654636920384955E-2"/>
                  <c:y val="-0.1485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Sheet1!$D$71:$D$79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Sheet1!$E$71:$E$79</c:f>
              <c:numCache>
                <c:formatCode>General</c:formatCode>
                <c:ptCount val="9"/>
                <c:pt idx="0">
                  <c:v>0.28299999999999997</c:v>
                </c:pt>
                <c:pt idx="1">
                  <c:v>0.316</c:v>
                </c:pt>
                <c:pt idx="2">
                  <c:v>0.36</c:v>
                </c:pt>
                <c:pt idx="3">
                  <c:v>0.39900000000000002</c:v>
                </c:pt>
                <c:pt idx="4">
                  <c:v>0.45</c:v>
                </c:pt>
                <c:pt idx="5">
                  <c:v>0.496</c:v>
                </c:pt>
                <c:pt idx="6">
                  <c:v>0.53200000000000003</c:v>
                </c:pt>
                <c:pt idx="7">
                  <c:v>0.58699999999999997</c:v>
                </c:pt>
                <c:pt idx="8">
                  <c:v>0.623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7-44A0-A0CD-DB9A1F3D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10799"/>
        <c:axId val="566512239"/>
      </c:scatterChart>
      <c:valAx>
        <c:axId val="56651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</a:t>
                </a:r>
                <a:r>
                  <a:rPr lang="en-IN" baseline="0"/>
                  <a:t> (in MHz)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12239"/>
        <c:crosses val="autoZero"/>
        <c:crossBetween val="midCat"/>
      </c:valAx>
      <c:valAx>
        <c:axId val="56651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</a:t>
                </a:r>
                <a:r>
                  <a:rPr lang="en-IN" baseline="0"/>
                  <a:t> (in 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51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Round</a:t>
            </a:r>
            <a:r>
              <a:rPr lang="en-IN" baseline="0"/>
              <a:t> 6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2864240642025461E-2"/>
          <c:y val="0.13338635241085375"/>
          <c:w val="0.86396911937756427"/>
          <c:h val="0.6893826119111956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418635170603676E-2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Sheet1!$G$71:$G$79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</c:numCache>
            </c:numRef>
          </c:xVal>
          <c:yVal>
            <c:numRef>
              <c:f>Sheet1!$H$71:$H$79</c:f>
              <c:numCache>
                <c:formatCode>General</c:formatCode>
                <c:ptCount val="9"/>
                <c:pt idx="0">
                  <c:v>0.25800000000000001</c:v>
                </c:pt>
                <c:pt idx="1">
                  <c:v>0.30199999999999999</c:v>
                </c:pt>
                <c:pt idx="2">
                  <c:v>0.34599999999999997</c:v>
                </c:pt>
                <c:pt idx="3">
                  <c:v>0.39</c:v>
                </c:pt>
                <c:pt idx="4">
                  <c:v>0.435</c:v>
                </c:pt>
                <c:pt idx="5">
                  <c:v>0.47699999999999998</c:v>
                </c:pt>
                <c:pt idx="6">
                  <c:v>0.52100000000000002</c:v>
                </c:pt>
                <c:pt idx="7">
                  <c:v>0.56599999999999995</c:v>
                </c:pt>
                <c:pt idx="8">
                  <c:v>0.60699999999999998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E-4A59-AB7F-8F236CCA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264303"/>
        <c:axId val="841261903"/>
      </c:scatterChart>
      <c:valAx>
        <c:axId val="84126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</a:t>
                </a:r>
                <a:r>
                  <a:rPr lang="en-IN" baseline="0"/>
                  <a:t> (in MHz)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61903"/>
        <c:crosses val="autoZero"/>
        <c:crossBetween val="midCat"/>
      </c:valAx>
      <c:valAx>
        <c:axId val="84126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</a:t>
                </a:r>
                <a:r>
                  <a:rPr lang="en-IN" baseline="0"/>
                  <a:t> (in 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6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273208</xdr:colOff>
      <xdr:row>46</xdr:row>
      <xdr:rowOff>137053</xdr:rowOff>
    </xdr:from>
    <xdr:to>
      <xdr:col>10</xdr:col>
      <xdr:colOff>731022</xdr:colOff>
      <xdr:row>65</xdr:row>
      <xdr:rowOff>143917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1203B8-1D3D-7D09-2904-24D2730CD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330008</xdr:colOff>
      <xdr:row>80</xdr:row>
      <xdr:rowOff>142908</xdr:rowOff>
    </xdr:from>
    <xdr:to>
      <xdr:col>4</xdr:col>
      <xdr:colOff>272439</xdr:colOff>
      <xdr:row>96</xdr:row>
      <xdr:rowOff>8095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BDAD1-CA5A-5CE1-57A0-FF15AD2C5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295284</xdr:colOff>
      <xdr:row>80</xdr:row>
      <xdr:rowOff>171878</xdr:rowOff>
    </xdr:from>
    <xdr:to>
      <xdr:col>8</xdr:col>
      <xdr:colOff>482645</xdr:colOff>
      <xdr:row>95</xdr:row>
      <xdr:rowOff>167481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C196CF-A2E3-110F-14F9-3207C11F9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303046</xdr:colOff>
      <xdr:row>95</xdr:row>
      <xdr:rowOff>169671</xdr:rowOff>
    </xdr:from>
    <xdr:to>
      <xdr:col>6</xdr:col>
      <xdr:colOff>416090</xdr:colOff>
      <xdr:row>110</xdr:row>
      <xdr:rowOff>165276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BD1C77-65CD-2FAB-07A7-111E5FE2C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5DEB-61A1-446E-8C20-ECE47D5FFCF1}">
  <dimension ref="A1:R79"/>
  <sheetViews>
    <sheetView tabSelected="1" topLeftCell="G31" zoomScale="129" workbookViewId="0">
      <selection activeCell="L49" sqref="L49"/>
    </sheetView>
  </sheetViews>
  <sheetFormatPr defaultColWidth="15.59765625"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3"/>
      <c r="E1" s="13"/>
      <c r="F1" s="1" t="s">
        <v>3</v>
      </c>
      <c r="G1" s="1" t="s">
        <v>4</v>
      </c>
      <c r="H1" s="1" t="s">
        <v>5</v>
      </c>
      <c r="I1" s="1" t="s">
        <v>6</v>
      </c>
      <c r="J1" s="1"/>
      <c r="K1" s="1" t="s">
        <v>7</v>
      </c>
      <c r="L1" s="1" t="s">
        <v>8</v>
      </c>
      <c r="M1" s="1"/>
      <c r="N1" s="1"/>
      <c r="O1" s="1"/>
      <c r="P1" s="1"/>
      <c r="Q1" s="1"/>
      <c r="R1" s="1"/>
    </row>
    <row r="2" spans="1:18" x14ac:dyDescent="0.45">
      <c r="A2" s="1"/>
      <c r="B2" s="1" t="s">
        <v>9</v>
      </c>
      <c r="C2" s="1"/>
      <c r="D2" s="1"/>
      <c r="E2" s="1" t="s">
        <v>10</v>
      </c>
      <c r="F2" s="1"/>
      <c r="G2" s="1"/>
      <c r="H2" s="1" t="s">
        <v>11</v>
      </c>
      <c r="I2" s="1"/>
      <c r="J2" s="1"/>
      <c r="K2" s="1" t="s">
        <v>12</v>
      </c>
      <c r="L2" s="1"/>
      <c r="M2" s="1"/>
      <c r="N2" s="1" t="s">
        <v>13</v>
      </c>
      <c r="O2" s="1"/>
      <c r="P2" s="1"/>
      <c r="Q2" s="1" t="s">
        <v>14</v>
      </c>
      <c r="R2" s="1"/>
    </row>
    <row r="3" spans="1:18" x14ac:dyDescent="0.45">
      <c r="A3" s="1" t="s">
        <v>15</v>
      </c>
      <c r="B3" s="1" t="s">
        <v>16</v>
      </c>
      <c r="C3" s="1" t="s">
        <v>17</v>
      </c>
      <c r="D3" s="1"/>
      <c r="E3" s="1" t="s">
        <v>16</v>
      </c>
      <c r="F3" s="1" t="s">
        <v>17</v>
      </c>
      <c r="G3" s="1"/>
      <c r="H3" s="1" t="s">
        <v>16</v>
      </c>
      <c r="I3" s="1" t="s">
        <v>17</v>
      </c>
      <c r="J3" s="1"/>
      <c r="K3" s="1" t="s">
        <v>18</v>
      </c>
      <c r="L3" s="1" t="s">
        <v>19</v>
      </c>
      <c r="M3" s="1"/>
      <c r="N3" s="1" t="s">
        <v>18</v>
      </c>
      <c r="O3" s="1" t="s">
        <v>19</v>
      </c>
      <c r="P3" s="1"/>
      <c r="Q3" s="1" t="s">
        <v>18</v>
      </c>
      <c r="R3" s="1" t="s">
        <v>19</v>
      </c>
    </row>
    <row r="4" spans="1:18" x14ac:dyDescent="0.45">
      <c r="A4" s="1"/>
      <c r="B4" s="1"/>
      <c r="C4" s="1"/>
      <c r="D4" s="14"/>
      <c r="E4" s="14"/>
      <c r="F4" s="1"/>
      <c r="G4" s="1"/>
      <c r="H4" s="1"/>
      <c r="I4" s="1"/>
      <c r="J4" s="14"/>
      <c r="K4" s="14"/>
      <c r="L4" s="1"/>
      <c r="M4" s="1"/>
      <c r="N4" s="1"/>
      <c r="O4" s="1"/>
      <c r="P4" s="1"/>
      <c r="Q4" s="1"/>
      <c r="R4" s="1"/>
    </row>
    <row r="5" spans="1:18" x14ac:dyDescent="0.45">
      <c r="A5" s="2">
        <v>30</v>
      </c>
      <c r="B5" s="3">
        <v>0.31</v>
      </c>
      <c r="C5" s="3">
        <v>0.36099999999999999</v>
      </c>
      <c r="D5" s="4"/>
      <c r="E5" s="5">
        <v>0.29799999999999999</v>
      </c>
      <c r="F5" s="5">
        <v>0.36399999999999999</v>
      </c>
      <c r="G5" s="4"/>
      <c r="H5" s="6">
        <v>0.29099999999999998</v>
      </c>
      <c r="I5" s="6">
        <v>0.36</v>
      </c>
      <c r="J5" s="4"/>
      <c r="K5" s="7">
        <v>0.29199999999999998</v>
      </c>
      <c r="L5" s="7">
        <v>0.36599999999999999</v>
      </c>
      <c r="M5" s="4"/>
      <c r="N5" s="8">
        <v>0.28299999999999997</v>
      </c>
      <c r="O5" s="8">
        <v>0.09</v>
      </c>
      <c r="P5" s="1"/>
      <c r="Q5" s="9">
        <v>0.25800000000000001</v>
      </c>
      <c r="R5" s="9">
        <v>0.04</v>
      </c>
    </row>
    <row r="6" spans="1:18" x14ac:dyDescent="0.45">
      <c r="A6" s="2">
        <v>35</v>
      </c>
      <c r="B6" s="3">
        <v>0.32900000000000001</v>
      </c>
      <c r="C6" s="3">
        <v>0.36099999999999999</v>
      </c>
      <c r="D6" s="4"/>
      <c r="E6" s="5">
        <v>0.31900000000000001</v>
      </c>
      <c r="F6" s="5">
        <v>0.36299999999999999</v>
      </c>
      <c r="G6" s="4"/>
      <c r="H6" s="6">
        <v>0.312</v>
      </c>
      <c r="I6" s="6">
        <v>0.36</v>
      </c>
      <c r="J6" s="4"/>
      <c r="K6" s="7">
        <v>0.32600000000000001</v>
      </c>
      <c r="L6" s="7">
        <v>0.35799999999999998</v>
      </c>
      <c r="M6" s="4"/>
      <c r="N6" s="8">
        <v>0.316</v>
      </c>
      <c r="O6" s="8">
        <v>0.09</v>
      </c>
      <c r="P6" s="1"/>
      <c r="Q6" s="9">
        <v>0.30199999999999999</v>
      </c>
      <c r="R6" s="9">
        <v>5.5E-2</v>
      </c>
    </row>
    <row r="7" spans="1:18" x14ac:dyDescent="0.45">
      <c r="A7" s="2">
        <v>40</v>
      </c>
      <c r="B7" s="3">
        <v>0.36599999999999999</v>
      </c>
      <c r="C7" s="3">
        <v>0.36099999999999999</v>
      </c>
      <c r="D7" s="4"/>
      <c r="E7" s="5">
        <v>0.35099999999999998</v>
      </c>
      <c r="F7" s="5">
        <v>0.36299999999999999</v>
      </c>
      <c r="G7" s="4"/>
      <c r="H7" s="6">
        <v>0.34300000000000003</v>
      </c>
      <c r="I7" s="6">
        <v>0.36</v>
      </c>
      <c r="J7" s="4"/>
      <c r="K7" s="7">
        <v>0.36499999999999999</v>
      </c>
      <c r="L7" s="7">
        <v>0.35799999999999998</v>
      </c>
      <c r="M7" s="4"/>
      <c r="N7" s="8">
        <v>0.36</v>
      </c>
      <c r="O7" s="8">
        <v>6.8000000000000005E-2</v>
      </c>
      <c r="P7" s="1"/>
      <c r="Q7" s="9">
        <v>0.34599999999999997</v>
      </c>
      <c r="R7" s="9">
        <v>0.02</v>
      </c>
    </row>
    <row r="8" spans="1:18" x14ac:dyDescent="0.45">
      <c r="A8" s="2">
        <v>45</v>
      </c>
      <c r="B8" s="3">
        <v>0.39100000000000001</v>
      </c>
      <c r="C8" s="3">
        <v>0.36099999999999999</v>
      </c>
      <c r="D8" s="4"/>
      <c r="E8" s="5">
        <v>0.38100000000000001</v>
      </c>
      <c r="F8" s="5">
        <v>0.36099999999999999</v>
      </c>
      <c r="G8" s="4"/>
      <c r="H8" s="6">
        <v>0.39700000000000002</v>
      </c>
      <c r="I8" s="6">
        <v>0.36099999999999999</v>
      </c>
      <c r="J8" s="4"/>
      <c r="K8" s="7">
        <v>0.40699999999999997</v>
      </c>
      <c r="L8" s="7">
        <v>0.35799999999999998</v>
      </c>
      <c r="M8" s="4"/>
      <c r="N8" s="8">
        <v>0.39900000000000002</v>
      </c>
      <c r="O8" s="8">
        <v>0.09</v>
      </c>
      <c r="P8" s="1"/>
      <c r="Q8" s="9">
        <v>0.39</v>
      </c>
      <c r="R8" s="9">
        <v>0.05</v>
      </c>
    </row>
    <row r="9" spans="1:18" x14ac:dyDescent="0.45">
      <c r="A9" s="2">
        <v>50</v>
      </c>
      <c r="B9" s="3">
        <v>0.43</v>
      </c>
      <c r="C9" s="3">
        <v>0.36099999999999999</v>
      </c>
      <c r="D9" s="4"/>
      <c r="E9" s="5">
        <v>0.435</v>
      </c>
      <c r="F9" s="5">
        <v>0.36099999999999999</v>
      </c>
      <c r="G9" s="4"/>
      <c r="H9" s="6">
        <v>0.42399999999999999</v>
      </c>
      <c r="I9" s="6">
        <v>0.36</v>
      </c>
      <c r="J9" s="4"/>
      <c r="K9" s="7">
        <v>0.46</v>
      </c>
      <c r="L9" s="7">
        <v>0.35699999999999998</v>
      </c>
      <c r="M9" s="4"/>
      <c r="N9" s="8">
        <v>0.45</v>
      </c>
      <c r="O9" s="8">
        <v>0.09</v>
      </c>
      <c r="P9" s="1"/>
      <c r="Q9" s="9">
        <v>0.435</v>
      </c>
      <c r="R9" s="9">
        <v>2.4E-2</v>
      </c>
    </row>
    <row r="10" spans="1:18" x14ac:dyDescent="0.45">
      <c r="A10" s="2">
        <v>55</v>
      </c>
      <c r="B10" s="3">
        <v>0.47599999999999998</v>
      </c>
      <c r="C10" s="3">
        <v>0.36099999999999999</v>
      </c>
      <c r="D10" s="4"/>
      <c r="E10" s="5">
        <v>0.47599999999999998</v>
      </c>
      <c r="F10" s="5">
        <v>0.36099999999999999</v>
      </c>
      <c r="G10" s="4"/>
      <c r="H10" s="6">
        <v>0.48299999999999998</v>
      </c>
      <c r="I10" s="6">
        <v>0.36</v>
      </c>
      <c r="J10" s="4"/>
      <c r="K10" s="7">
        <v>0.501</v>
      </c>
      <c r="L10" s="7">
        <v>0.35499999999999998</v>
      </c>
      <c r="M10" s="4"/>
      <c r="N10" s="8">
        <v>0.496</v>
      </c>
      <c r="O10" s="8">
        <v>9.0999999999999998E-2</v>
      </c>
      <c r="P10" s="1"/>
      <c r="Q10" s="9">
        <v>0.47699999999999998</v>
      </c>
      <c r="R10" s="9">
        <v>4.1000000000000002E-2</v>
      </c>
    </row>
    <row r="11" spans="1:18" x14ac:dyDescent="0.45">
      <c r="A11" s="2">
        <v>60</v>
      </c>
      <c r="B11" s="3">
        <v>0.52800000000000002</v>
      </c>
      <c r="C11" s="3">
        <v>0.36099999999999999</v>
      </c>
      <c r="D11" s="4"/>
      <c r="E11" s="5">
        <v>0.52700000000000002</v>
      </c>
      <c r="F11" s="5">
        <v>0.36</v>
      </c>
      <c r="G11" s="4"/>
      <c r="H11" s="6">
        <v>0.52</v>
      </c>
      <c r="I11" s="6">
        <v>0.36</v>
      </c>
      <c r="J11" s="4"/>
      <c r="K11" s="7">
        <v>0.54600000000000004</v>
      </c>
      <c r="L11" s="7">
        <v>0.35599999999999998</v>
      </c>
      <c r="M11" s="4"/>
      <c r="N11" s="8">
        <v>0.53200000000000003</v>
      </c>
      <c r="O11" s="8">
        <v>9.0999999999999998E-2</v>
      </c>
      <c r="P11" s="1"/>
      <c r="Q11" s="9">
        <v>0.52100000000000002</v>
      </c>
      <c r="R11" s="9">
        <v>5.1999999999999998E-2</v>
      </c>
    </row>
    <row r="12" spans="1:18" x14ac:dyDescent="0.45">
      <c r="A12" s="2">
        <v>65</v>
      </c>
      <c r="B12" s="3">
        <v>0.59799999999999998</v>
      </c>
      <c r="C12" s="3">
        <v>0.36099999999999999</v>
      </c>
      <c r="D12" s="1"/>
      <c r="E12" s="5">
        <v>0.57399999999999995</v>
      </c>
      <c r="F12" s="5">
        <v>0.35899999999999999</v>
      </c>
      <c r="G12" s="4"/>
      <c r="H12" s="6">
        <v>0.57199999999999995</v>
      </c>
      <c r="I12" s="6">
        <v>0.36</v>
      </c>
      <c r="J12" s="4"/>
      <c r="K12" s="7">
        <v>0.60099999999999998</v>
      </c>
      <c r="L12" s="7">
        <v>0.35599999999999998</v>
      </c>
      <c r="M12" s="4"/>
      <c r="N12" s="8">
        <v>0.58699999999999997</v>
      </c>
      <c r="O12" s="8">
        <v>9.0999999999999998E-2</v>
      </c>
      <c r="P12" s="1"/>
      <c r="Q12" s="9">
        <v>0.56599999999999995</v>
      </c>
      <c r="R12" s="9">
        <v>3.4000000000000002E-2</v>
      </c>
    </row>
    <row r="13" spans="1:18" x14ac:dyDescent="0.45">
      <c r="A13" s="2">
        <v>70</v>
      </c>
      <c r="B13" s="3" t="s">
        <v>20</v>
      </c>
      <c r="C13" s="3" t="s">
        <v>21</v>
      </c>
      <c r="D13" s="4"/>
      <c r="E13" s="5">
        <v>0.61699999999999999</v>
      </c>
      <c r="F13" s="5">
        <v>0.35799999999999998</v>
      </c>
      <c r="G13" s="1"/>
      <c r="H13" s="6">
        <v>0.61299999999999999</v>
      </c>
      <c r="I13" s="6">
        <v>0.36</v>
      </c>
      <c r="J13" s="1"/>
      <c r="K13" s="7">
        <v>0.63100000000000001</v>
      </c>
      <c r="L13" s="7">
        <v>0.35499999999999998</v>
      </c>
      <c r="M13" s="1"/>
      <c r="N13" s="8">
        <v>0.623</v>
      </c>
      <c r="O13" s="8">
        <v>9.0999999999999998E-2</v>
      </c>
      <c r="P13" s="1"/>
      <c r="Q13" s="9">
        <v>0.60699999999999998</v>
      </c>
      <c r="R13" s="9">
        <v>3.3000000000000002E-2</v>
      </c>
    </row>
    <row r="14" spans="1:18" x14ac:dyDescent="0.45">
      <c r="A14" s="4" t="s">
        <v>22</v>
      </c>
      <c r="B14" s="4"/>
      <c r="C14" s="4"/>
      <c r="D14" s="4"/>
      <c r="E14" s="4" t="s">
        <v>22</v>
      </c>
      <c r="F14" s="4"/>
      <c r="G14" s="4"/>
      <c r="H14" s="4" t="s">
        <v>22</v>
      </c>
      <c r="I14" s="4"/>
      <c r="J14" s="4"/>
      <c r="K14" s="4" t="s">
        <v>22</v>
      </c>
      <c r="L14" s="4"/>
      <c r="M14" s="4"/>
      <c r="N14" s="4" t="s">
        <v>22</v>
      </c>
      <c r="O14" s="4"/>
      <c r="P14" s="4"/>
      <c r="Q14" s="4" t="s">
        <v>22</v>
      </c>
      <c r="R14" s="4"/>
    </row>
    <row r="17" spans="7:17" x14ac:dyDescent="0.45">
      <c r="K17" t="s">
        <v>23</v>
      </c>
      <c r="M17" t="s">
        <v>24</v>
      </c>
      <c r="O17" t="s">
        <v>28</v>
      </c>
    </row>
    <row r="18" spans="7:17" x14ac:dyDescent="0.45">
      <c r="N18" t="s">
        <v>29</v>
      </c>
    </row>
    <row r="19" spans="7:17" x14ac:dyDescent="0.45">
      <c r="J19">
        <v>30</v>
      </c>
      <c r="K19" s="10">
        <f>AVERAGE(K5,N5,Q5)</f>
        <v>0.27766666666666667</v>
      </c>
      <c r="M19">
        <f>Q19*((4/5)^(3/2))*(320/0.0675)*K19</f>
        <v>1.1836269486982199E-3</v>
      </c>
      <c r="N19">
        <f>M19*1000</f>
        <v>1.1836269486982198</v>
      </c>
      <c r="O19" t="s">
        <v>25</v>
      </c>
      <c r="P19">
        <f>4*3.141593*10^-7</f>
        <v>1.2566371999999998E-6</v>
      </c>
      <c r="Q19">
        <v>1.2566371999999998E-6</v>
      </c>
    </row>
    <row r="20" spans="7:17" x14ac:dyDescent="0.45">
      <c r="J20">
        <v>35</v>
      </c>
      <c r="K20" s="10">
        <f t="shared" ref="K20:K27" si="0">AVERAGE(K6,N6,Q6)</f>
        <v>0.31466666666666665</v>
      </c>
      <c r="M20">
        <f t="shared" ref="M20:M27" si="1">Q20*((4/5)^(3/2))*(320/0.0675)*K20</f>
        <v>1.3413491471442013E-3</v>
      </c>
      <c r="N20">
        <f t="shared" ref="N20:N27" si="2">M20*1000</f>
        <v>1.3413491471442012</v>
      </c>
      <c r="O20" t="s">
        <v>26</v>
      </c>
      <c r="P20">
        <v>320</v>
      </c>
      <c r="Q20">
        <v>1.2566371999999998E-6</v>
      </c>
    </row>
    <row r="21" spans="7:17" x14ac:dyDescent="0.45">
      <c r="J21">
        <v>40</v>
      </c>
      <c r="K21" s="10">
        <f t="shared" si="0"/>
        <v>0.35699999999999998</v>
      </c>
      <c r="M21">
        <f t="shared" si="1"/>
        <v>1.5218060768977112E-3</v>
      </c>
      <c r="N21">
        <f t="shared" si="2"/>
        <v>1.5218060768977111</v>
      </c>
      <c r="O21" t="s">
        <v>27</v>
      </c>
      <c r="P21">
        <v>6.7500000000000004E-2</v>
      </c>
      <c r="Q21">
        <v>1.2566371999999998E-6</v>
      </c>
    </row>
    <row r="22" spans="7:17" x14ac:dyDescent="0.45">
      <c r="J22">
        <v>45</v>
      </c>
      <c r="K22" s="10">
        <f t="shared" si="0"/>
        <v>0.39866666666666672</v>
      </c>
      <c r="M22">
        <f t="shared" si="1"/>
        <v>1.6994211652377807E-3</v>
      </c>
      <c r="N22">
        <f t="shared" si="2"/>
        <v>1.6994211652377806</v>
      </c>
      <c r="Q22">
        <v>1.2566371999999998E-6</v>
      </c>
    </row>
    <row r="23" spans="7:17" x14ac:dyDescent="0.45">
      <c r="J23">
        <v>50</v>
      </c>
      <c r="K23" s="10">
        <f t="shared" si="0"/>
        <v>0.44833333333333331</v>
      </c>
      <c r="M23">
        <f t="shared" si="1"/>
        <v>1.9111383505391426E-3</v>
      </c>
      <c r="N23">
        <f t="shared" si="2"/>
        <v>1.9111383505391426</v>
      </c>
      <c r="Q23">
        <v>1.2566371999999998E-6</v>
      </c>
    </row>
    <row r="24" spans="7:17" x14ac:dyDescent="0.45">
      <c r="J24">
        <v>55</v>
      </c>
      <c r="K24" s="10">
        <f t="shared" si="0"/>
        <v>0.49133333333333334</v>
      </c>
      <c r="M24">
        <f t="shared" si="1"/>
        <v>2.0944371217060938E-3</v>
      </c>
      <c r="N24">
        <f t="shared" si="2"/>
        <v>2.0944371217060938</v>
      </c>
      <c r="Q24">
        <v>1.2566371999999998E-6</v>
      </c>
    </row>
    <row r="25" spans="7:17" x14ac:dyDescent="0.45">
      <c r="J25">
        <v>60</v>
      </c>
      <c r="K25" s="10">
        <f t="shared" si="0"/>
        <v>0.53300000000000003</v>
      </c>
      <c r="M25">
        <f t="shared" si="1"/>
        <v>2.2720522100461629E-3</v>
      </c>
      <c r="N25">
        <f t="shared" si="2"/>
        <v>2.2720522100461626</v>
      </c>
      <c r="Q25">
        <v>1.2566371999999998E-6</v>
      </c>
    </row>
    <row r="26" spans="7:17" x14ac:dyDescent="0.45">
      <c r="J26">
        <v>65</v>
      </c>
      <c r="K26" s="10">
        <f t="shared" si="0"/>
        <v>0.58466666666666667</v>
      </c>
      <c r="M26">
        <f t="shared" si="1"/>
        <v>2.4922949195878485E-3</v>
      </c>
      <c r="N26">
        <f t="shared" si="2"/>
        <v>2.4922949195878483</v>
      </c>
      <c r="Q26">
        <v>1.2566371999999998E-6</v>
      </c>
    </row>
    <row r="27" spans="7:17" x14ac:dyDescent="0.45">
      <c r="J27">
        <v>70</v>
      </c>
      <c r="K27" s="10">
        <f t="shared" si="0"/>
        <v>0.62033333333333329</v>
      </c>
      <c r="M27">
        <f t="shared" si="1"/>
        <v>2.6443334352069473E-3</v>
      </c>
      <c r="N27">
        <f t="shared" si="2"/>
        <v>2.6443334352069474</v>
      </c>
      <c r="Q27">
        <v>1.2566371999999998E-6</v>
      </c>
    </row>
    <row r="30" spans="7:17" x14ac:dyDescent="0.45">
      <c r="G30" t="s">
        <v>30</v>
      </c>
      <c r="J30" t="s">
        <v>46</v>
      </c>
      <c r="K30" s="10">
        <f>AVERAGE(K19:K27)</f>
        <v>0.44729629629629625</v>
      </c>
      <c r="N30">
        <f>0.5% * 0.447</f>
        <v>2.235E-3</v>
      </c>
    </row>
    <row r="31" spans="7:17" x14ac:dyDescent="0.45">
      <c r="O31">
        <f>SQRT(0.002^2 + 0.001^2 + 0.001^2)</f>
        <v>2.4494897427831779E-3</v>
      </c>
    </row>
    <row r="33" spans="4:14" x14ac:dyDescent="0.45">
      <c r="G33" t="s">
        <v>31</v>
      </c>
      <c r="H33" t="s">
        <v>32</v>
      </c>
      <c r="I33" t="s">
        <v>47</v>
      </c>
    </row>
    <row r="35" spans="4:14" x14ac:dyDescent="0.45">
      <c r="F35">
        <v>1.1836269486982198</v>
      </c>
      <c r="G35">
        <v>30</v>
      </c>
      <c r="H35">
        <v>1.1836269486982198</v>
      </c>
      <c r="I35">
        <f>SQRT((0.0005/0.0675)^2+(0.002/K19)^2)</f>
        <v>1.0332046331477216E-2</v>
      </c>
      <c r="J35" s="11" t="s">
        <v>33</v>
      </c>
      <c r="K35" s="11"/>
      <c r="L35" s="11"/>
      <c r="M35" s="11"/>
    </row>
    <row r="36" spans="4:14" x14ac:dyDescent="0.45">
      <c r="F36">
        <v>1.3413491471442012</v>
      </c>
      <c r="G36">
        <v>35</v>
      </c>
      <c r="H36">
        <v>1.3413491471442012</v>
      </c>
      <c r="I36">
        <f t="shared" ref="I36:I43" si="3">SQRT((0.0005/0.0675)^2+(0.002/K20)^2)</f>
        <v>9.760510164607281E-3</v>
      </c>
      <c r="J36" s="11">
        <f>26.782*10^9</f>
        <v>26782000000</v>
      </c>
      <c r="K36" s="11"/>
      <c r="L36" s="11"/>
      <c r="M36" s="11"/>
      <c r="N36" t="s">
        <v>44</v>
      </c>
    </row>
    <row r="37" spans="4:14" x14ac:dyDescent="0.45">
      <c r="F37">
        <v>1.5218060768977111</v>
      </c>
      <c r="G37">
        <v>40</v>
      </c>
      <c r="H37">
        <v>1.5218060768977111</v>
      </c>
      <c r="I37">
        <f t="shared" si="3"/>
        <v>9.2873455605003898E-3</v>
      </c>
      <c r="J37" s="11"/>
      <c r="K37" s="11"/>
      <c r="L37" s="11"/>
      <c r="M37" s="11"/>
    </row>
    <row r="38" spans="4:14" x14ac:dyDescent="0.45">
      <c r="F38">
        <v>1.6994211652377806</v>
      </c>
      <c r="G38">
        <v>45</v>
      </c>
      <c r="H38">
        <v>1.6994211652377806</v>
      </c>
      <c r="I38">
        <f t="shared" si="3"/>
        <v>8.9463505530753638E-3</v>
      </c>
      <c r="J38" s="11" t="s">
        <v>34</v>
      </c>
      <c r="K38" s="11">
        <f>(E48*10^9*6.626*10^-34)/(9.274*10^-24)</f>
        <v>1.9134700298882501</v>
      </c>
      <c r="L38" s="11" t="s">
        <v>37</v>
      </c>
      <c r="M38" s="11"/>
    </row>
    <row r="39" spans="4:14" x14ac:dyDescent="0.45">
      <c r="F39">
        <v>1.9111383505391426</v>
      </c>
      <c r="G39">
        <v>50</v>
      </c>
      <c r="H39">
        <v>1.9111383505391426</v>
      </c>
      <c r="I39">
        <f t="shared" si="3"/>
        <v>8.6469594074944801E-3</v>
      </c>
      <c r="J39" s="11"/>
      <c r="K39" s="11">
        <f>(J36*6.626*10^-34)/(9.274*10^-24)</f>
        <v>1.9134950614621524</v>
      </c>
      <c r="L39" s="11"/>
      <c r="M39" s="11"/>
    </row>
    <row r="40" spans="4:14" x14ac:dyDescent="0.45">
      <c r="F40">
        <v>2.0944371217060938</v>
      </c>
      <c r="G40">
        <v>55</v>
      </c>
      <c r="H40">
        <v>2.0944371217060938</v>
      </c>
      <c r="I40">
        <f t="shared" si="3"/>
        <v>8.452166181932487E-3</v>
      </c>
    </row>
    <row r="41" spans="4:14" x14ac:dyDescent="0.45">
      <c r="F41">
        <v>2.2720522100461626</v>
      </c>
      <c r="G41">
        <v>60</v>
      </c>
      <c r="H41">
        <v>2.2720522100461626</v>
      </c>
      <c r="I41">
        <f t="shared" si="3"/>
        <v>8.3036003707759182E-3</v>
      </c>
    </row>
    <row r="42" spans="4:14" x14ac:dyDescent="0.45">
      <c r="F42">
        <v>2.4922949195878483</v>
      </c>
      <c r="G42">
        <v>65</v>
      </c>
      <c r="H42">
        <v>2.4922949195878483</v>
      </c>
      <c r="I42">
        <f t="shared" si="3"/>
        <v>8.1591195979792887E-3</v>
      </c>
    </row>
    <row r="43" spans="4:14" x14ac:dyDescent="0.45">
      <c r="F43">
        <v>2.6443334352069474</v>
      </c>
      <c r="G43">
        <v>70</v>
      </c>
      <c r="H43">
        <v>2.6443334352069474</v>
      </c>
      <c r="I43">
        <f t="shared" si="3"/>
        <v>8.0786342730674986E-3</v>
      </c>
    </row>
    <row r="44" spans="4:14" x14ac:dyDescent="0.45">
      <c r="D44" t="s">
        <v>36</v>
      </c>
      <c r="E44">
        <f>CORREL(F35:F43,G35:G43)</f>
        <v>0.99952994602350331</v>
      </c>
    </row>
    <row r="45" spans="4:14" x14ac:dyDescent="0.45">
      <c r="G45" t="s">
        <v>48</v>
      </c>
      <c r="H45">
        <f>AVERAGE(H35:H43)</f>
        <v>1.9067177083404563</v>
      </c>
      <c r="I45">
        <f>AVERAGE(I35:I43)</f>
        <v>8.8851924934344358E-3</v>
      </c>
      <c r="J45" t="s">
        <v>49</v>
      </c>
      <c r="K45">
        <f>H45*I45</f>
        <v>1.6941553869245132E-2</v>
      </c>
    </row>
    <row r="46" spans="4:14" x14ac:dyDescent="0.45">
      <c r="E46">
        <f>_xlfn.STDEV.S(G35:G43)</f>
        <v>13.693063937629153</v>
      </c>
    </row>
    <row r="47" spans="4:14" x14ac:dyDescent="0.45">
      <c r="E47">
        <f>_xlfn.STDEV.S(F35:F43)</f>
        <v>0.51104497437759233</v>
      </c>
      <c r="L47" s="12" t="s">
        <v>43</v>
      </c>
      <c r="M47" t="s">
        <v>45</v>
      </c>
    </row>
    <row r="48" spans="4:14" x14ac:dyDescent="0.45">
      <c r="E48">
        <f>E44*E46/E47</f>
        <v>26.781649648632101</v>
      </c>
      <c r="L48" s="12">
        <f>0.0373*10^-9</f>
        <v>3.7300000000000003E-11</v>
      </c>
    </row>
    <row r="49" spans="12:12" x14ac:dyDescent="0.45">
      <c r="L49" s="12">
        <f>(6.626*10^-34)/(L48*9.274*10^-24)</f>
        <v>1.9154706779193587</v>
      </c>
    </row>
    <row r="67" spans="1:9" x14ac:dyDescent="0.45">
      <c r="D67" t="s">
        <v>35</v>
      </c>
    </row>
    <row r="69" spans="1:9" x14ac:dyDescent="0.45">
      <c r="A69" t="s">
        <v>38</v>
      </c>
      <c r="E69" t="s">
        <v>41</v>
      </c>
      <c r="H69" t="s">
        <v>42</v>
      </c>
    </row>
    <row r="70" spans="1:9" x14ac:dyDescent="0.45">
      <c r="A70" t="s">
        <v>40</v>
      </c>
      <c r="B70" t="s">
        <v>39</v>
      </c>
      <c r="D70" t="s">
        <v>40</v>
      </c>
      <c r="E70" t="s">
        <v>39</v>
      </c>
      <c r="G70" t="s">
        <v>40</v>
      </c>
      <c r="H70" t="s">
        <v>39</v>
      </c>
    </row>
    <row r="71" spans="1:9" x14ac:dyDescent="0.45">
      <c r="A71" s="7">
        <v>30</v>
      </c>
      <c r="B71" s="7">
        <v>0.29199999999999998</v>
      </c>
      <c r="D71" s="7">
        <v>30</v>
      </c>
      <c r="E71" s="8">
        <v>0.28299999999999997</v>
      </c>
      <c r="G71" s="7">
        <v>30</v>
      </c>
      <c r="H71" s="9">
        <v>0.25800000000000001</v>
      </c>
    </row>
    <row r="72" spans="1:9" x14ac:dyDescent="0.45">
      <c r="A72" s="7">
        <v>35</v>
      </c>
      <c r="B72" s="7">
        <v>0.32600000000000001</v>
      </c>
      <c r="D72" s="7">
        <v>35</v>
      </c>
      <c r="E72" s="8">
        <v>0.316</v>
      </c>
      <c r="G72" s="7">
        <v>35</v>
      </c>
      <c r="H72" s="9">
        <v>0.30199999999999999</v>
      </c>
      <c r="I72">
        <f>H72-H71</f>
        <v>4.3999999999999984E-2</v>
      </c>
    </row>
    <row r="73" spans="1:9" x14ac:dyDescent="0.45">
      <c r="A73" s="7">
        <v>40</v>
      </c>
      <c r="B73" s="7">
        <v>0.36499999999999999</v>
      </c>
      <c r="D73" s="7">
        <v>40</v>
      </c>
      <c r="E73" s="8">
        <v>0.36</v>
      </c>
      <c r="G73" s="7">
        <v>40</v>
      </c>
      <c r="H73" s="9">
        <v>0.34599999999999997</v>
      </c>
      <c r="I73">
        <f>H74-H73</f>
        <v>4.4000000000000039E-2</v>
      </c>
    </row>
    <row r="74" spans="1:9" x14ac:dyDescent="0.45">
      <c r="A74" s="7">
        <v>45</v>
      </c>
      <c r="B74" s="7">
        <v>0.40699999999999997</v>
      </c>
      <c r="D74" s="7">
        <v>45</v>
      </c>
      <c r="E74" s="8">
        <v>0.39900000000000002</v>
      </c>
      <c r="G74" s="7">
        <v>45</v>
      </c>
      <c r="H74" s="9">
        <v>0.39</v>
      </c>
      <c r="I74">
        <f t="shared" ref="I74:I79" si="4">H74-H73</f>
        <v>4.4000000000000039E-2</v>
      </c>
    </row>
    <row r="75" spans="1:9" x14ac:dyDescent="0.45">
      <c r="A75" s="7">
        <v>50</v>
      </c>
      <c r="B75" s="7">
        <v>0.46</v>
      </c>
      <c r="D75" s="7">
        <v>50</v>
      </c>
      <c r="E75" s="8">
        <v>0.45</v>
      </c>
      <c r="G75" s="7">
        <v>50</v>
      </c>
      <c r="H75" s="9">
        <v>0.435</v>
      </c>
      <c r="I75">
        <f t="shared" si="4"/>
        <v>4.4999999999999984E-2</v>
      </c>
    </row>
    <row r="76" spans="1:9" x14ac:dyDescent="0.45">
      <c r="A76" s="7">
        <v>55</v>
      </c>
      <c r="B76" s="7">
        <v>0.501</v>
      </c>
      <c r="D76" s="7">
        <v>55</v>
      </c>
      <c r="E76" s="8">
        <v>0.496</v>
      </c>
      <c r="G76" s="7">
        <v>55</v>
      </c>
      <c r="H76" s="9">
        <v>0.47699999999999998</v>
      </c>
      <c r="I76">
        <f t="shared" si="4"/>
        <v>4.1999999999999982E-2</v>
      </c>
    </row>
    <row r="77" spans="1:9" x14ac:dyDescent="0.45">
      <c r="A77" s="7">
        <v>60</v>
      </c>
      <c r="B77" s="7">
        <v>0.54600000000000004</v>
      </c>
      <c r="D77" s="7">
        <v>60</v>
      </c>
      <c r="E77" s="8">
        <v>0.53200000000000003</v>
      </c>
      <c r="G77" s="7">
        <v>60</v>
      </c>
      <c r="H77" s="9">
        <v>0.52100000000000002</v>
      </c>
      <c r="I77">
        <f t="shared" si="4"/>
        <v>4.4000000000000039E-2</v>
      </c>
    </row>
    <row r="78" spans="1:9" x14ac:dyDescent="0.45">
      <c r="A78" s="7">
        <v>65</v>
      </c>
      <c r="B78" s="7">
        <v>0.60099999999999998</v>
      </c>
      <c r="D78" s="7">
        <v>65</v>
      </c>
      <c r="E78" s="8">
        <v>0.58699999999999997</v>
      </c>
      <c r="G78" s="7">
        <v>65</v>
      </c>
      <c r="H78" s="9">
        <v>0.56599999999999995</v>
      </c>
      <c r="I78">
        <f t="shared" si="4"/>
        <v>4.4999999999999929E-2</v>
      </c>
    </row>
    <row r="79" spans="1:9" x14ac:dyDescent="0.45">
      <c r="A79" s="7">
        <v>70</v>
      </c>
      <c r="B79" s="7">
        <v>0.63100000000000001</v>
      </c>
      <c r="D79" s="7">
        <v>70</v>
      </c>
      <c r="E79" s="8">
        <v>0.623</v>
      </c>
      <c r="G79" s="7">
        <v>70</v>
      </c>
      <c r="H79" s="9">
        <v>0.60699999999999998</v>
      </c>
      <c r="I79">
        <f t="shared" si="4"/>
        <v>4.1000000000000036E-2</v>
      </c>
    </row>
  </sheetData>
  <mergeCells count="3">
    <mergeCell ref="D1:E1"/>
    <mergeCell ref="D4:E4"/>
    <mergeCell ref="J4:K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Bhar</dc:creator>
  <cp:lastModifiedBy>Soham Bhar</cp:lastModifiedBy>
  <dcterms:created xsi:type="dcterms:W3CDTF">2026-02-01T04:32:12Z</dcterms:created>
  <dcterms:modified xsi:type="dcterms:W3CDTF">2026-02-03T06:26:53Z</dcterms:modified>
</cp:coreProperties>
</file>