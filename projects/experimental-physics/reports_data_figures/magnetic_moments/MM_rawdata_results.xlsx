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M\"/>
    </mc:Choice>
  </mc:AlternateContent>
  <xr:revisionPtr revIDLastSave="0" documentId="13_ncr:1_{D2085C49-7D3D-4233-B99B-5F6FA8A6501A}" xr6:coauthVersionLast="47" xr6:coauthVersionMax="47" xr10:uidLastSave="{00000000-0000-0000-0000-000000000000}"/>
  <bookViews>
    <workbookView xWindow="-98" yWindow="-98" windowWidth="21795" windowHeight="12975" activeTab="1" xr2:uid="{CAE944F8-F432-43B9-92C2-FC57EFD8F694}"/>
  </bookViews>
  <sheets>
    <sheet name="data" sheetId="1" r:id="rId1"/>
    <sheet name="results and error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2" l="1"/>
  <c r="E75" i="2"/>
  <c r="E74" i="2"/>
  <c r="B153" i="1"/>
  <c r="B70" i="2"/>
  <c r="B72" i="2" s="1"/>
  <c r="G71" i="2" l="1"/>
  <c r="B57" i="2"/>
  <c r="B69" i="2"/>
  <c r="B68" i="2"/>
  <c r="B66" i="2"/>
  <c r="B64" i="2"/>
  <c r="B62" i="2"/>
  <c r="B61" i="2"/>
  <c r="B50" i="2"/>
  <c r="B32" i="2"/>
  <c r="A23" i="2"/>
  <c r="P88" i="1" a="1"/>
  <c r="P88" i="1" s="1"/>
  <c r="H46" i="2" s="1"/>
  <c r="F22" i="2"/>
  <c r="G79" i="1" a="1"/>
  <c r="G79" i="1" s="1"/>
  <c r="H29" i="2" s="1"/>
  <c r="G78" i="1" a="1"/>
  <c r="G78" i="1" s="1"/>
  <c r="H28" i="2" s="1"/>
  <c r="F19" i="2"/>
  <c r="H19" i="2"/>
  <c r="H13" i="2"/>
  <c r="R86" i="1"/>
  <c r="S86" i="1" s="1"/>
  <c r="R85" i="1"/>
  <c r="R84" i="1"/>
  <c r="P89" i="1" s="1"/>
  <c r="H47" i="2" s="1"/>
  <c r="C6" i="2"/>
  <c r="F152" i="1"/>
  <c r="B56" i="2" s="1"/>
  <c r="F96" i="1" a="1"/>
  <c r="F96" i="1" s="1"/>
  <c r="B19" i="2" s="1"/>
  <c r="B20" i="2" s="1"/>
  <c r="E24" i="2" s="1"/>
  <c r="H92" i="1"/>
  <c r="H93" i="1"/>
  <c r="H91" i="1"/>
  <c r="E136" i="1"/>
  <c r="E137" i="1"/>
  <c r="E138" i="1"/>
  <c r="E139" i="1"/>
  <c r="E140" i="1"/>
  <c r="E141" i="1"/>
  <c r="E142" i="1"/>
  <c r="F151" i="1" s="1" a="1"/>
  <c r="F151" i="1" s="1"/>
  <c r="E143" i="1"/>
  <c r="E144" i="1"/>
  <c r="E145" i="1"/>
  <c r="E146" i="1"/>
  <c r="E147" i="1"/>
  <c r="E148" i="1"/>
  <c r="E135" i="1"/>
  <c r="S85" i="1"/>
  <c r="P85" i="1"/>
  <c r="Q85" i="1" s="1"/>
  <c r="P86" i="1"/>
  <c r="Q86" i="1" s="1"/>
  <c r="P84" i="1"/>
  <c r="Q84" i="1" s="1"/>
  <c r="K28" i="1"/>
  <c r="K29" i="1"/>
  <c r="K30" i="1"/>
  <c r="K31" i="1"/>
  <c r="K32" i="1"/>
  <c r="K44" i="1"/>
  <c r="K45" i="1"/>
  <c r="K46" i="1"/>
  <c r="K47" i="1"/>
  <c r="K48" i="1"/>
  <c r="M63" i="1"/>
  <c r="M64" i="1"/>
  <c r="M65" i="1"/>
  <c r="M66" i="1"/>
  <c r="M67" i="1"/>
  <c r="M68" i="1"/>
  <c r="M69" i="1"/>
  <c r="M70" i="1"/>
  <c r="M71" i="1"/>
  <c r="M72" i="1"/>
  <c r="M73" i="1"/>
  <c r="M74" i="1"/>
  <c r="M62" i="1"/>
  <c r="U66" i="1" s="1" a="1"/>
  <c r="U66" i="1" s="1"/>
  <c r="B28" i="2" s="1"/>
  <c r="B29" i="2" s="1"/>
  <c r="B63" i="1"/>
  <c r="B64" i="1"/>
  <c r="B65" i="1"/>
  <c r="B66" i="1"/>
  <c r="B67" i="1"/>
  <c r="B68" i="1"/>
  <c r="B69" i="1"/>
  <c r="B70" i="1"/>
  <c r="B71" i="1"/>
  <c r="B72" i="1"/>
  <c r="B73" i="1"/>
  <c r="B74" i="1"/>
  <c r="B62" i="1"/>
  <c r="S110" i="1"/>
  <c r="S112" i="1"/>
  <c r="S109" i="1"/>
  <c r="Q110" i="1"/>
  <c r="Q111" i="1"/>
  <c r="S111" i="1" s="1"/>
  <c r="Q112" i="1"/>
  <c r="Q113" i="1"/>
  <c r="S113" i="1" s="1"/>
  <c r="Q114" i="1"/>
  <c r="S114" i="1" s="1"/>
  <c r="Q115" i="1"/>
  <c r="S115" i="1" s="1"/>
  <c r="Q116" i="1"/>
  <c r="S116" i="1" s="1"/>
  <c r="Q117" i="1"/>
  <c r="S117" i="1" s="1"/>
  <c r="Q118" i="1"/>
  <c r="S118" i="1" s="1"/>
  <c r="Q119" i="1"/>
  <c r="S119" i="1" s="1"/>
  <c r="Q120" i="1"/>
  <c r="S120" i="1" s="1"/>
  <c r="Q121" i="1"/>
  <c r="S121" i="1" s="1"/>
  <c r="Q122" i="1"/>
  <c r="S122" i="1" s="1"/>
  <c r="Q123" i="1"/>
  <c r="S123" i="1" s="1"/>
  <c r="Q124" i="1"/>
  <c r="S124" i="1" s="1"/>
  <c r="Q125" i="1"/>
  <c r="S125" i="1" s="1"/>
  <c r="Q109" i="1"/>
  <c r="Q128" i="1" s="1" a="1"/>
  <c r="Q128" i="1" s="1"/>
  <c r="H37" i="2" s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09" i="1"/>
  <c r="AA116" i="1" s="1" a="1"/>
  <c r="AA116" i="1" s="1"/>
  <c r="B37" i="2" s="1"/>
  <c r="B38" i="2" s="1"/>
  <c r="B39" i="2" s="1"/>
  <c r="C39" i="2" s="1"/>
  <c r="J27" i="1"/>
  <c r="K27" i="1" s="1"/>
  <c r="J28" i="1"/>
  <c r="J29" i="1"/>
  <c r="J30" i="1"/>
  <c r="J31" i="1"/>
  <c r="J32" i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J45" i="1"/>
  <c r="J46" i="1"/>
  <c r="J47" i="1"/>
  <c r="J48" i="1"/>
  <c r="J49" i="1"/>
  <c r="K49" i="1" s="1"/>
  <c r="J50" i="1"/>
  <c r="K50" i="1" s="1"/>
  <c r="J51" i="1"/>
  <c r="K51" i="1" s="1"/>
  <c r="J52" i="1"/>
  <c r="K52" i="1" s="1"/>
  <c r="J26" i="1"/>
  <c r="N25" i="1" s="1" a="1"/>
  <c r="N25" i="1" s="1"/>
  <c r="H10" i="2" s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26" i="1"/>
  <c r="N26" i="1" s="1" a="1"/>
  <c r="N26" i="1" s="1"/>
  <c r="H11" i="2" s="1"/>
  <c r="B30" i="2" l="1"/>
  <c r="C30" i="2" s="1"/>
  <c r="E33" i="2"/>
  <c r="F10" i="2"/>
  <c r="F13" i="2" s="1"/>
  <c r="F28" i="2"/>
  <c r="F31" i="2" s="1"/>
  <c r="F32" i="2" s="1"/>
  <c r="F33" i="2" s="1"/>
  <c r="F46" i="2"/>
  <c r="F49" i="2" s="1"/>
  <c r="K26" i="1"/>
  <c r="R38" i="1" s="1" a="1"/>
  <c r="R38" i="1" s="1"/>
  <c r="B10" i="2" s="1"/>
  <c r="B11" i="2" s="1"/>
  <c r="S84" i="1"/>
  <c r="X91" i="1" s="1" a="1"/>
  <c r="X91" i="1" s="1"/>
  <c r="B46" i="2" s="1"/>
  <c r="B47" i="2" s="1"/>
  <c r="B48" i="2" s="1"/>
  <c r="C48" i="2" s="1"/>
  <c r="Q129" i="1" a="1"/>
  <c r="Q129" i="1" s="1"/>
  <c r="H38" i="2" s="1"/>
  <c r="F37" i="2" s="1"/>
  <c r="F40" i="2" s="1"/>
  <c r="F41" i="2" s="1"/>
  <c r="F42" i="2" s="1"/>
  <c r="E42" i="2"/>
  <c r="F23" i="2"/>
  <c r="F24" i="2" s="1"/>
  <c r="B21" i="2"/>
  <c r="C21" i="2" s="1"/>
  <c r="E15" i="2" l="1"/>
  <c r="B12" i="2"/>
  <c r="C12" i="2" s="1"/>
  <c r="E51" i="2"/>
  <c r="F50" i="2"/>
  <c r="F51" i="2" s="1"/>
  <c r="F14" i="2"/>
  <c r="F1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<sst xmlns="http://schemas.openxmlformats.org/spreadsheetml/2006/main" count="224" uniqueCount="144">
  <si>
    <t xml:space="preserve">EXP 1 </t>
  </si>
  <si>
    <t xml:space="preserve">3 turns large </t>
  </si>
  <si>
    <t>I coil (A)</t>
  </si>
  <si>
    <t>I loop (A)</t>
  </si>
  <si>
    <t xml:space="preserve">dynamometer reading </t>
  </si>
  <si>
    <t xml:space="preserve">dynamometer readings </t>
  </si>
  <si>
    <t>Rd1</t>
  </si>
  <si>
    <t>Rd2</t>
  </si>
  <si>
    <t>Rd3</t>
  </si>
  <si>
    <t xml:space="preserve">IL (A) </t>
  </si>
  <si>
    <t>Ih (A)</t>
  </si>
  <si>
    <t>ih(A)</t>
  </si>
  <si>
    <t>at 0 B, torsion required = -0.2</t>
  </si>
  <si>
    <t>exp - 3</t>
  </si>
  <si>
    <t>dynamometer recalibrated using bottom knob at the start of every round</t>
  </si>
  <si>
    <t xml:space="preserve">n=3 </t>
  </si>
  <si>
    <t>angle (degree)</t>
  </si>
  <si>
    <t xml:space="preserve">torque </t>
  </si>
  <si>
    <t>coil current</t>
  </si>
  <si>
    <t xml:space="preserve">sample current </t>
  </si>
  <si>
    <t>rd1</t>
  </si>
  <si>
    <t>rd2</t>
  </si>
  <si>
    <t>rd3</t>
  </si>
  <si>
    <t>went down to 2.57</t>
  </si>
  <si>
    <t>current fluctuated quite  0.1 A at the end, was an ammeter issue</t>
  </si>
  <si>
    <t>changed ammeter and got stable readings</t>
  </si>
  <si>
    <t>exp - 5</t>
  </si>
  <si>
    <t>n=1</t>
  </si>
  <si>
    <t>d(cm) (inner)</t>
  </si>
  <si>
    <t>rnd4</t>
  </si>
  <si>
    <t>rnd5</t>
  </si>
  <si>
    <t>rnd 6</t>
  </si>
  <si>
    <t>exp 2</t>
  </si>
  <si>
    <t>coil - 2.6A</t>
  </si>
  <si>
    <t>Loop 1.5 A</t>
  </si>
  <si>
    <t>T</t>
  </si>
  <si>
    <t>rnd1</t>
  </si>
  <si>
    <t>rnd2</t>
  </si>
  <si>
    <t>rnd3</t>
  </si>
  <si>
    <t>n=</t>
  </si>
  <si>
    <t>exp4</t>
  </si>
  <si>
    <t>n=3</t>
  </si>
  <si>
    <t>Ih val</t>
  </si>
  <si>
    <t>I sample vals</t>
  </si>
  <si>
    <t>loop current</t>
  </si>
  <si>
    <t>deflection</t>
  </si>
  <si>
    <t>straight line</t>
  </si>
  <si>
    <t>area</t>
  </si>
  <si>
    <t>15.3cm</t>
  </si>
  <si>
    <t>72.63cm2</t>
  </si>
  <si>
    <t xml:space="preserve">Star </t>
  </si>
  <si>
    <t>Loop</t>
  </si>
  <si>
    <t>Coil</t>
  </si>
  <si>
    <t>in amps</t>
  </si>
  <si>
    <t>Ih average readings</t>
  </si>
  <si>
    <t xml:space="preserve">dynamometer readings average </t>
  </si>
  <si>
    <t>corrected rd1 to rd3 data</t>
  </si>
  <si>
    <t>avg of rd2 and rd3 (sample current)</t>
  </si>
  <si>
    <t>avg of rd2 and rd3 (dynamometer )</t>
  </si>
  <si>
    <t>helmholtz coil radius =</t>
  </si>
  <si>
    <t xml:space="preserve">inner = </t>
  </si>
  <si>
    <t>18cm</t>
  </si>
  <si>
    <t>outer=</t>
  </si>
  <si>
    <t>therefore midpoint to midpoint R=</t>
  </si>
  <si>
    <t xml:space="preserve">20cm </t>
  </si>
  <si>
    <t xml:space="preserve">mu naught= </t>
  </si>
  <si>
    <t xml:space="preserve">helmholtz coil radius = </t>
  </si>
  <si>
    <t>0.2 m</t>
  </si>
  <si>
    <t>N=</t>
  </si>
  <si>
    <t>154 turns</t>
  </si>
  <si>
    <t xml:space="preserve">theoretical value = </t>
  </si>
  <si>
    <t>in Nm</t>
  </si>
  <si>
    <t>torque averaged and corrected</t>
  </si>
  <si>
    <t>Nm</t>
  </si>
  <si>
    <t>sin alpha</t>
  </si>
  <si>
    <t>dynamometer proper</t>
  </si>
  <si>
    <t>average of rd4 to rd6</t>
  </si>
  <si>
    <t>d^2</t>
  </si>
  <si>
    <t>d</t>
  </si>
  <si>
    <t xml:space="preserve">dynamometer </t>
  </si>
  <si>
    <t>slope= (in SI)</t>
  </si>
  <si>
    <t xml:space="preserve">exp1 </t>
  </si>
  <si>
    <t>exp2</t>
  </si>
  <si>
    <t>exp3</t>
  </si>
  <si>
    <t>exp5</t>
  </si>
  <si>
    <t>exp6</t>
  </si>
  <si>
    <t xml:space="preserve">slope = </t>
  </si>
  <si>
    <t>slope=</t>
  </si>
  <si>
    <t>Il=1.8 A</t>
  </si>
  <si>
    <t>d=12cm</t>
  </si>
  <si>
    <t>Ih=2.6A</t>
  </si>
  <si>
    <t>Il=1.5 A</t>
  </si>
  <si>
    <t>(dependence on n)</t>
  </si>
  <si>
    <t>(dependence on angle)</t>
  </si>
  <si>
    <t>Il= 2.5A</t>
  </si>
  <si>
    <t>d=0.12</t>
  </si>
  <si>
    <t>d=0.12 cm</t>
  </si>
  <si>
    <t xml:space="preserve">slope= </t>
  </si>
  <si>
    <t>(dependence on Il)</t>
  </si>
  <si>
    <t xml:space="preserve">d=0.12 </t>
  </si>
  <si>
    <t>(dependence on d^2)</t>
  </si>
  <si>
    <t>Ih=2.6 A</t>
  </si>
  <si>
    <t xml:space="preserve">Il=4 A </t>
  </si>
  <si>
    <t>Il varied</t>
  </si>
  <si>
    <t>general formula:</t>
  </si>
  <si>
    <t xml:space="preserve">T= </t>
  </si>
  <si>
    <t>c*n*Ih*Il*(pi*d^2)*sin(a)/4</t>
  </si>
  <si>
    <t>T vs Ih</t>
  </si>
  <si>
    <t xml:space="preserve">T vs n </t>
  </si>
  <si>
    <t>T vs sin(a)</t>
  </si>
  <si>
    <t>T vs Il</t>
  </si>
  <si>
    <t>T vs d^2</t>
  </si>
  <si>
    <t>c=</t>
  </si>
  <si>
    <t xml:space="preserve">discrepency= </t>
  </si>
  <si>
    <t xml:space="preserve">slope error (relative) = </t>
  </si>
  <si>
    <t>relative error in T=</t>
  </si>
  <si>
    <t>relative error in Ih=</t>
  </si>
  <si>
    <t>relative error in d=</t>
  </si>
  <si>
    <t>relative error in c</t>
  </si>
  <si>
    <t>(cos 90=0 therefore error for angle negligible)</t>
  </si>
  <si>
    <t>absolute error in c=</t>
  </si>
  <si>
    <t>values * 10^4</t>
  </si>
  <si>
    <t>relative error inT=</t>
  </si>
  <si>
    <t>relative error in angle=</t>
  </si>
  <si>
    <t>relative error in Il=</t>
  </si>
  <si>
    <t xml:space="preserve">relative error in T= </t>
  </si>
  <si>
    <t>discrepency =</t>
  </si>
  <si>
    <t>discrepency=</t>
  </si>
  <si>
    <t>c1=</t>
  </si>
  <si>
    <t>c2=</t>
  </si>
  <si>
    <t>c3=</t>
  </si>
  <si>
    <t>c4=</t>
  </si>
  <si>
    <t>c5=</t>
  </si>
  <si>
    <t>c_mean=</t>
  </si>
  <si>
    <t>star area=</t>
  </si>
  <si>
    <t>experimental</t>
  </si>
  <si>
    <t>a=0.153</t>
  </si>
  <si>
    <t xml:space="preserve">theoretical </t>
  </si>
  <si>
    <t>pentagon side=</t>
  </si>
  <si>
    <t>triangle base=</t>
  </si>
  <si>
    <t>triangle height=</t>
  </si>
  <si>
    <t>area=</t>
  </si>
  <si>
    <t>relaitve error =</t>
  </si>
  <si>
    <t>absolute error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</si>
</sst>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592082239720034E-2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data!$O$109:$O$125</c:f>
              <c:numCache>
                <c:formatCode>General</c:formatCode>
                <c:ptCount val="17"/>
                <c:pt idx="0">
                  <c:v>5</c:v>
                </c:pt>
                <c:pt idx="1">
                  <c:v>4.4000000000000004</c:v>
                </c:pt>
                <c:pt idx="2">
                  <c:v>3.8</c:v>
                </c:pt>
                <c:pt idx="3">
                  <c:v>3.2</c:v>
                </c:pt>
                <c:pt idx="4">
                  <c:v>2.6</c:v>
                </c:pt>
                <c:pt idx="5">
                  <c:v>2.0099999999999998</c:v>
                </c:pt>
                <c:pt idx="6">
                  <c:v>1.4</c:v>
                </c:pt>
                <c:pt idx="7">
                  <c:v>0.8</c:v>
                </c:pt>
                <c:pt idx="8">
                  <c:v>0.19500000000000001</c:v>
                </c:pt>
                <c:pt idx="9">
                  <c:v>-0.4</c:v>
                </c:pt>
                <c:pt idx="10">
                  <c:v>-0.99</c:v>
                </c:pt>
                <c:pt idx="11">
                  <c:v>-1.6</c:v>
                </c:pt>
                <c:pt idx="12">
                  <c:v>-2.19</c:v>
                </c:pt>
                <c:pt idx="13">
                  <c:v>-2.8</c:v>
                </c:pt>
                <c:pt idx="14">
                  <c:v>-3.4</c:v>
                </c:pt>
                <c:pt idx="15">
                  <c:v>-4</c:v>
                </c:pt>
                <c:pt idx="16">
                  <c:v>-4.6100000000000003</c:v>
                </c:pt>
              </c:numCache>
            </c:numRef>
          </c:xVal>
          <c:yVal>
            <c:numRef>
              <c:f>data!$S$109:$S$125</c:f>
              <c:numCache>
                <c:formatCode>General</c:formatCode>
                <c:ptCount val="17"/>
                <c:pt idx="0">
                  <c:v>3.3E-4</c:v>
                </c:pt>
                <c:pt idx="1">
                  <c:v>2.9150000000000004E-4</c:v>
                </c:pt>
                <c:pt idx="2">
                  <c:v>2.6124999999999998E-4</c:v>
                </c:pt>
                <c:pt idx="3">
                  <c:v>2.2549999999999998E-4</c:v>
                </c:pt>
                <c:pt idx="4">
                  <c:v>1.7655000000000001E-4</c:v>
                </c:pt>
                <c:pt idx="5">
                  <c:v>1.4300000000000001E-4</c:v>
                </c:pt>
                <c:pt idx="6">
                  <c:v>1.0449999999999999E-4</c:v>
                </c:pt>
                <c:pt idx="7">
                  <c:v>6.3250000000000006E-5</c:v>
                </c:pt>
                <c:pt idx="8">
                  <c:v>1.9799999999999997E-5</c:v>
                </c:pt>
                <c:pt idx="9">
                  <c:v>-1.925E-5</c:v>
                </c:pt>
                <c:pt idx="10">
                  <c:v>-4.6749999999999998E-5</c:v>
                </c:pt>
                <c:pt idx="11">
                  <c:v>-9.9000000000000008E-5</c:v>
                </c:pt>
                <c:pt idx="12">
                  <c:v>-1.3750000000000001E-4</c:v>
                </c:pt>
                <c:pt idx="13">
                  <c:v>-1.5950000000000003E-4</c:v>
                </c:pt>
                <c:pt idx="14">
                  <c:v>-2.0350000000000001E-4</c:v>
                </c:pt>
                <c:pt idx="15">
                  <c:v>-2.4475000000000001E-4</c:v>
                </c:pt>
                <c:pt idx="16">
                  <c:v>-3.0249999999999998E-4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04-41A5-AB70-A31795B63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691327"/>
        <c:axId val="671690367"/>
      </c:scatterChart>
      <c:valAx>
        <c:axId val="67169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90367"/>
        <c:crosses val="autoZero"/>
        <c:crossBetween val="midCat"/>
      </c:valAx>
      <c:valAx>
        <c:axId val="67169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9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</a:t>
            </a:r>
            <a:r>
              <a:rPr lang="en-IN" b="1" baseline="0"/>
              <a:t> vs sin(alpha) with error bars and best fit</a:t>
            </a:r>
            <a:endParaRPr lang="en-IN" b="1"/>
          </a:p>
        </c:rich>
      </c:tx>
      <c:layout>
        <c:manualLayout>
          <c:xMode val="edge"/>
          <c:yMode val="edge"/>
          <c:x val="2.274650846646822E-2"/>
          <c:y val="4.7287944214435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953298512048458E-2"/>
          <c:y val="0.1757000972416857"/>
          <c:w val="0.90541741649475482"/>
          <c:h val="0.7285860342736845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7213992686130089"/>
                  <c:y val="-0.1531147620009975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5.5000000000000024E-6"/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data!$M$62:$M$74</c:f>
              <c:numCache>
                <c:formatCode>General</c:formatCode>
                <c:ptCount val="13"/>
                <c:pt idx="0">
                  <c:v>1</c:v>
                </c:pt>
                <c:pt idx="1">
                  <c:v>0.96592582628906831</c:v>
                </c:pt>
                <c:pt idx="2">
                  <c:v>0.8660254037844386</c:v>
                </c:pt>
                <c:pt idx="3">
                  <c:v>0.70710678118654746</c:v>
                </c:pt>
                <c:pt idx="4">
                  <c:v>0.49999999999999994</c:v>
                </c:pt>
                <c:pt idx="5">
                  <c:v>0.25881904510252074</c:v>
                </c:pt>
                <c:pt idx="6">
                  <c:v>0</c:v>
                </c:pt>
                <c:pt idx="7">
                  <c:v>-0.25881904510252074</c:v>
                </c:pt>
                <c:pt idx="8">
                  <c:v>-0.49999999999999994</c:v>
                </c:pt>
                <c:pt idx="9">
                  <c:v>-0.70710678118654746</c:v>
                </c:pt>
                <c:pt idx="10">
                  <c:v>-0.8660254037844386</c:v>
                </c:pt>
                <c:pt idx="11">
                  <c:v>-0.96592582628906831</c:v>
                </c:pt>
                <c:pt idx="12">
                  <c:v>-1</c:v>
                </c:pt>
              </c:numCache>
            </c:numRef>
          </c:xVal>
          <c:yVal>
            <c:numRef>
              <c:f>data!$N$62:$N$74</c:f>
              <c:numCache>
                <c:formatCode>General</c:formatCode>
                <c:ptCount val="13"/>
                <c:pt idx="0">
                  <c:v>1.7159999999999997E-4</c:v>
                </c:pt>
                <c:pt idx="1">
                  <c:v>1.5473333333333332E-4</c:v>
                </c:pt>
                <c:pt idx="2">
                  <c:v>1.3016666666666667E-4</c:v>
                </c:pt>
                <c:pt idx="3">
                  <c:v>1.0083333333333334E-4</c:v>
                </c:pt>
                <c:pt idx="4">
                  <c:v>6.0866666666666664E-5</c:v>
                </c:pt>
                <c:pt idx="5">
                  <c:v>2.2000000000000006E-5</c:v>
                </c:pt>
                <c:pt idx="6">
                  <c:v>3.6666666666666666E-6</c:v>
                </c:pt>
                <c:pt idx="7">
                  <c:v>-2.2000000000000006E-5</c:v>
                </c:pt>
                <c:pt idx="8">
                  <c:v>-5.6833333333333337E-5</c:v>
                </c:pt>
                <c:pt idx="9">
                  <c:v>-9.8266666666666679E-5</c:v>
                </c:pt>
                <c:pt idx="10">
                  <c:v>-1.2466666666666667E-4</c:v>
                </c:pt>
                <c:pt idx="11">
                  <c:v>-1.4336666666666666E-4</c:v>
                </c:pt>
                <c:pt idx="12">
                  <c:v>-1.7050000000000002E-4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1-4ED7-8EE7-D8345360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691807"/>
        <c:axId val="671682687"/>
      </c:scatterChart>
      <c:valAx>
        <c:axId val="67169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sin</a:t>
                </a:r>
                <a:r>
                  <a:rPr lang="en-IN" b="1" baseline="0"/>
                  <a:t> (alpha) 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4620769872273186"/>
              <c:y val="0.91849751711054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82687"/>
        <c:crosses val="autoZero"/>
        <c:crossBetween val="midCat"/>
      </c:valAx>
      <c:valAx>
        <c:axId val="67168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Torque</a:t>
                </a:r>
                <a:r>
                  <a:rPr lang="en-IN" b="1" baseline="0"/>
                  <a:t> T (in Nm)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2.7871658692885048E-3"/>
              <c:y val="0.22913080405483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9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</a:t>
            </a:r>
            <a:r>
              <a:rPr lang="en-IN" b="1" baseline="0"/>
              <a:t> vs I_H with error bars and best fit</a:t>
            </a:r>
            <a:endParaRPr lang="en-IN" b="1"/>
          </a:p>
        </c:rich>
      </c:tx>
      <c:layout>
        <c:manualLayout>
          <c:xMode val="edge"/>
          <c:yMode val="edge"/>
          <c:x val="2.8581863455338918E-2"/>
          <c:y val="2.7971319486428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709692816340042E-2"/>
          <c:y val="0.14879333125713998"/>
          <c:w val="0.91546477560697193"/>
          <c:h val="0.7714311897062673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0"/>
            <c:trendlineLbl>
              <c:layout>
                <c:manualLayout>
                  <c:x val="-2.2332860075874067E-2"/>
                  <c:y val="-0.135137760937631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5.5000000000000024E-6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data!$I$26:$I$52</c:f>
              <c:numCache>
                <c:formatCode>General</c:formatCode>
                <c:ptCount val="27"/>
                <c:pt idx="0">
                  <c:v>2.6</c:v>
                </c:pt>
                <c:pt idx="1">
                  <c:v>2.4</c:v>
                </c:pt>
                <c:pt idx="2">
                  <c:v>2.2000000000000002</c:v>
                </c:pt>
                <c:pt idx="3">
                  <c:v>2</c:v>
                </c:pt>
                <c:pt idx="4">
                  <c:v>1.8</c:v>
                </c:pt>
                <c:pt idx="5">
                  <c:v>1.59</c:v>
                </c:pt>
                <c:pt idx="6">
                  <c:v>1.4000000000000001</c:v>
                </c:pt>
                <c:pt idx="7">
                  <c:v>1.2</c:v>
                </c:pt>
                <c:pt idx="8">
                  <c:v>0.9966666666666667</c:v>
                </c:pt>
                <c:pt idx="9">
                  <c:v>0.80000000000000016</c:v>
                </c:pt>
                <c:pt idx="10">
                  <c:v>0.60333333333333339</c:v>
                </c:pt>
                <c:pt idx="11">
                  <c:v>0.40000000000000008</c:v>
                </c:pt>
                <c:pt idx="12">
                  <c:v>0.20000000000000004</c:v>
                </c:pt>
                <c:pt idx="13">
                  <c:v>0</c:v>
                </c:pt>
                <c:pt idx="14">
                  <c:v>-0.20000000000000004</c:v>
                </c:pt>
                <c:pt idx="15">
                  <c:v>-0.40000000000000008</c:v>
                </c:pt>
                <c:pt idx="16">
                  <c:v>-0.6</c:v>
                </c:pt>
                <c:pt idx="17">
                  <c:v>-0.80000000000000016</c:v>
                </c:pt>
                <c:pt idx="18">
                  <c:v>-1</c:v>
                </c:pt>
                <c:pt idx="19">
                  <c:v>-1.2</c:v>
                </c:pt>
                <c:pt idx="20">
                  <c:v>-1.3999999999999997</c:v>
                </c:pt>
                <c:pt idx="21">
                  <c:v>-1.6000000000000003</c:v>
                </c:pt>
                <c:pt idx="22">
                  <c:v>-1.7966666666666666</c:v>
                </c:pt>
                <c:pt idx="23">
                  <c:v>-2</c:v>
                </c:pt>
                <c:pt idx="24">
                  <c:v>-2.21</c:v>
                </c:pt>
                <c:pt idx="25">
                  <c:v>-2.4</c:v>
                </c:pt>
                <c:pt idx="26">
                  <c:v>-2.6</c:v>
                </c:pt>
              </c:numCache>
            </c:numRef>
          </c:xVal>
          <c:yVal>
            <c:numRef>
              <c:f>data!$K$26:$K$52</c:f>
              <c:numCache>
                <c:formatCode>General</c:formatCode>
                <c:ptCount val="27"/>
                <c:pt idx="0">
                  <c:v>1.2100000000000001E-4</c:v>
                </c:pt>
                <c:pt idx="1">
                  <c:v>1.1E-4</c:v>
                </c:pt>
                <c:pt idx="2">
                  <c:v>9.9000000000000008E-5</c:v>
                </c:pt>
                <c:pt idx="3">
                  <c:v>8.8000000000000025E-5</c:v>
                </c:pt>
                <c:pt idx="4">
                  <c:v>7.8100000000000001E-5</c:v>
                </c:pt>
                <c:pt idx="5">
                  <c:v>7.2600000000000003E-5</c:v>
                </c:pt>
                <c:pt idx="6">
                  <c:v>6.0133333333333343E-5</c:v>
                </c:pt>
                <c:pt idx="7">
                  <c:v>5.94E-5</c:v>
                </c:pt>
                <c:pt idx="8">
                  <c:v>4.4000000000000012E-5</c:v>
                </c:pt>
                <c:pt idx="9">
                  <c:v>3.3000000000000003E-5</c:v>
                </c:pt>
                <c:pt idx="10">
                  <c:v>2.9333333333333333E-5</c:v>
                </c:pt>
                <c:pt idx="11">
                  <c:v>2.7500000000000001E-5</c:v>
                </c:pt>
                <c:pt idx="12">
                  <c:v>1.1000000000000003E-5</c:v>
                </c:pt>
                <c:pt idx="13">
                  <c:v>0</c:v>
                </c:pt>
                <c:pt idx="14">
                  <c:v>-1.1000000000000003E-5</c:v>
                </c:pt>
                <c:pt idx="15">
                  <c:v>-2.2000000000000006E-5</c:v>
                </c:pt>
                <c:pt idx="16">
                  <c:v>-3.1166666666666674E-5</c:v>
                </c:pt>
                <c:pt idx="17">
                  <c:v>-3.8499999999999994E-5</c:v>
                </c:pt>
                <c:pt idx="18">
                  <c:v>-5.1699999999999996E-5</c:v>
                </c:pt>
                <c:pt idx="19">
                  <c:v>-5.5000000000000002E-5</c:v>
                </c:pt>
                <c:pt idx="20">
                  <c:v>-6.7833333333333347E-5</c:v>
                </c:pt>
                <c:pt idx="21">
                  <c:v>-7.6999999999999988E-5</c:v>
                </c:pt>
                <c:pt idx="22">
                  <c:v>-8.25E-5</c:v>
                </c:pt>
                <c:pt idx="23">
                  <c:v>-9.3499999999999996E-5</c:v>
                </c:pt>
                <c:pt idx="24">
                  <c:v>-1.0816666666666668E-4</c:v>
                </c:pt>
                <c:pt idx="25">
                  <c:v>-1.1E-4</c:v>
                </c:pt>
                <c:pt idx="26">
                  <c:v>-1.246666666666667E-4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D-4B71-BABF-4411BA9C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719647"/>
        <c:axId val="671726367"/>
      </c:scatterChart>
      <c:valAx>
        <c:axId val="67171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Coil current I_H</a:t>
                </a:r>
                <a:r>
                  <a:rPr lang="en-IN" b="1" baseline="0"/>
                  <a:t> (in A)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38895766819378558"/>
              <c:y val="0.92896497865816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26367"/>
        <c:crosses val="autoZero"/>
        <c:crossBetween val="midCat"/>
      </c:valAx>
      <c:valAx>
        <c:axId val="67172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Torque</a:t>
                </a:r>
                <a:r>
                  <a:rPr lang="en-IN" b="1" baseline="0"/>
                  <a:t> T (in Nm)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2.7459318678756096E-3"/>
              <c:y val="0.341336413790938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1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</a:t>
            </a:r>
            <a:r>
              <a:rPr lang="en-IN" b="1" baseline="0"/>
              <a:t> vs d^2 with error bars and best fit</a:t>
            </a:r>
            <a:endParaRPr lang="en-IN" b="1"/>
          </a:p>
        </c:rich>
      </c:tx>
      <c:layout>
        <c:manualLayout>
          <c:xMode val="edge"/>
          <c:yMode val="edge"/>
          <c:x val="5.2535225217013273E-2"/>
          <c:y val="2.761891264848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57755816588973"/>
          <c:y val="0.14525471989640509"/>
          <c:w val="0.78326921747440093"/>
          <c:h val="0.7224167488264637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5.099857970829326E-2"/>
                  <c:y val="-0.149854319643303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5.5000000000000024E-6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data!$S$84:$S$86</c:f>
              <c:numCache>
                <c:formatCode>General</c:formatCode>
                <c:ptCount val="3"/>
                <c:pt idx="0">
                  <c:v>1.4424009999999999E-2</c:v>
                </c:pt>
                <c:pt idx="1">
                  <c:v>7.3273600000000015E-3</c:v>
                </c:pt>
                <c:pt idx="2">
                  <c:v>3.6120100000000001E-3</c:v>
                </c:pt>
              </c:numCache>
            </c:numRef>
          </c:xVal>
          <c:yVal>
            <c:numRef>
              <c:f>data!$T$84:$T$86</c:f>
              <c:numCache>
                <c:formatCode>General</c:formatCode>
                <c:ptCount val="3"/>
                <c:pt idx="0">
                  <c:v>8.5799999999999985E-5</c:v>
                </c:pt>
                <c:pt idx="1">
                  <c:v>4.5833333333333334E-5</c:v>
                </c:pt>
                <c:pt idx="2">
                  <c:v>2.2000000000000006E-5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3E-4F0B-ADBB-BEF51036C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398735"/>
        <c:axId val="514079887"/>
      </c:scatterChart>
      <c:valAx>
        <c:axId val="5163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d^2</a:t>
                </a:r>
                <a:r>
                  <a:rPr lang="en-IN" b="1" baseline="0"/>
                  <a:t> (in m^2)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518453072179347"/>
              <c:y val="0.928068852362523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79887"/>
        <c:crosses val="autoZero"/>
        <c:crossBetween val="midCat"/>
      </c:valAx>
      <c:valAx>
        <c:axId val="51407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Torque</a:t>
                </a:r>
                <a:r>
                  <a:rPr lang="en-IN" b="1" baseline="0"/>
                  <a:t> T(in Nm)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2.7701376449060702E-3"/>
              <c:y val="0.310856497491060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</a:t>
            </a:r>
            <a:r>
              <a:rPr lang="en-IN" b="1" baseline="0"/>
              <a:t> vs I_L for star loop with error bars and best fit</a:t>
            </a:r>
            <a:endParaRPr lang="en-IN" b="1"/>
          </a:p>
        </c:rich>
      </c:tx>
      <c:layout>
        <c:manualLayout>
          <c:xMode val="edge"/>
          <c:yMode val="edge"/>
          <c:x val="1.2048426987864868E-3"/>
          <c:y val="1.8493646751531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69491392662966"/>
          <c:y val="0.17148179510123784"/>
          <c:w val="0.80050667202532011"/>
          <c:h val="0.7021917086109495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9078314993848"/>
                  <c:y val="-0.16757756315072259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5.5000000000000024E-6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data!$B$135:$B$148</c:f>
              <c:numCache>
                <c:formatCode>General</c:formatCode>
                <c:ptCount val="14"/>
                <c:pt idx="0">
                  <c:v>0.4</c:v>
                </c:pt>
                <c:pt idx="1">
                  <c:v>0.82</c:v>
                </c:pt>
                <c:pt idx="2">
                  <c:v>1.21</c:v>
                </c:pt>
                <c:pt idx="3">
                  <c:v>1.59</c:v>
                </c:pt>
                <c:pt idx="4">
                  <c:v>1.99</c:v>
                </c:pt>
                <c:pt idx="5">
                  <c:v>2.38</c:v>
                </c:pt>
                <c:pt idx="6">
                  <c:v>2.81</c:v>
                </c:pt>
                <c:pt idx="7">
                  <c:v>3.2</c:v>
                </c:pt>
                <c:pt idx="8">
                  <c:v>3.6</c:v>
                </c:pt>
                <c:pt idx="9">
                  <c:v>3.99</c:v>
                </c:pt>
                <c:pt idx="10">
                  <c:v>4.3899999999999997</c:v>
                </c:pt>
                <c:pt idx="11">
                  <c:v>4.8</c:v>
                </c:pt>
                <c:pt idx="12">
                  <c:v>5.19</c:v>
                </c:pt>
                <c:pt idx="13">
                  <c:v>5.53</c:v>
                </c:pt>
              </c:numCache>
            </c:numRef>
          </c:xVal>
          <c:yVal>
            <c:numRef>
              <c:f>data!$E$135:$E$148</c:f>
              <c:numCache>
                <c:formatCode>General</c:formatCode>
                <c:ptCount val="14"/>
                <c:pt idx="0">
                  <c:v>1.1000000000000001E-5</c:v>
                </c:pt>
                <c:pt idx="1">
                  <c:v>3.3000000000000003E-5</c:v>
                </c:pt>
                <c:pt idx="2">
                  <c:v>4.4000000000000006E-5</c:v>
                </c:pt>
                <c:pt idx="3">
                  <c:v>5.5000000000000002E-5</c:v>
                </c:pt>
                <c:pt idx="4">
                  <c:v>5.5000000000000002E-5</c:v>
                </c:pt>
                <c:pt idx="5">
                  <c:v>6.6000000000000005E-5</c:v>
                </c:pt>
                <c:pt idx="6">
                  <c:v>6.6000000000000005E-5</c:v>
                </c:pt>
                <c:pt idx="7">
                  <c:v>7.7000000000000001E-5</c:v>
                </c:pt>
                <c:pt idx="8">
                  <c:v>8.8000000000000011E-5</c:v>
                </c:pt>
                <c:pt idx="9">
                  <c:v>9.9000000000000008E-5</c:v>
                </c:pt>
                <c:pt idx="10">
                  <c:v>1.1E-4</c:v>
                </c:pt>
                <c:pt idx="11">
                  <c:v>1.2100000000000001E-4</c:v>
                </c:pt>
                <c:pt idx="12">
                  <c:v>1.2100000000000001E-4</c:v>
                </c:pt>
                <c:pt idx="13">
                  <c:v>1.3200000000000001E-4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4-4890-A165-452901559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264559"/>
        <c:axId val="1453263599"/>
      </c:scatterChart>
      <c:valAx>
        <c:axId val="145326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Sample_Current</a:t>
                </a:r>
                <a:r>
                  <a:rPr lang="en-IN" b="1" baseline="0"/>
                  <a:t> I_L (in A)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1957143427543953"/>
              <c:y val="0.929701066439307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63599"/>
        <c:crosses val="autoZero"/>
        <c:crossBetween val="midCat"/>
      </c:valAx>
      <c:valAx>
        <c:axId val="14532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 Torque</a:t>
                </a:r>
                <a:r>
                  <a:rPr lang="en-IN" b="1" baseline="0"/>
                  <a:t> T(in Nm)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8.3128947397703937E-3"/>
              <c:y val="0.31858190584433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6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</a:t>
            </a:r>
            <a:r>
              <a:rPr lang="en-IN" b="1" baseline="0"/>
              <a:t> vs n with error bars and best fit</a:t>
            </a:r>
            <a:endParaRPr lang="en-IN" b="1"/>
          </a:p>
        </c:rich>
      </c:tx>
      <c:layout>
        <c:manualLayout>
          <c:xMode val="edge"/>
          <c:yMode val="edge"/>
          <c:x val="0.16058977831353766"/>
          <c:y val="2.7671437629233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37125288575257"/>
          <c:y val="0.1433842683253912"/>
          <c:w val="0.79603784536293931"/>
          <c:h val="0.7122097017749480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6.3258314676861174E-2"/>
                  <c:y val="-0.190284263549087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5.5000000000000024E-6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data!$F$91:$F$93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data!$H$91:$H$93</c:f>
              <c:numCache>
                <c:formatCode>General</c:formatCode>
                <c:ptCount val="3"/>
                <c:pt idx="0">
                  <c:v>3.3000000000000003E-5</c:v>
                </c:pt>
                <c:pt idx="1">
                  <c:v>6.6000000000000005E-5</c:v>
                </c:pt>
                <c:pt idx="2">
                  <c:v>9.9000000000000008E-5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7-49A5-943A-2BEF09546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499104"/>
        <c:axId val="1180497184"/>
      </c:scatterChart>
      <c:valAx>
        <c:axId val="118049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</a:t>
                </a:r>
                <a:r>
                  <a:rPr lang="en-IN" b="1" baseline="0"/>
                  <a:t> of turns (n)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4282522267754199"/>
              <c:y val="0.925426468805226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497184"/>
        <c:crosses val="autoZero"/>
        <c:crossBetween val="midCat"/>
      </c:valAx>
      <c:valAx>
        <c:axId val="118049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Torque</a:t>
                </a:r>
                <a:r>
                  <a:rPr lang="en-IN" b="1" baseline="0"/>
                  <a:t> T (in Nm)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5.5714117385213596E-3"/>
              <c:y val="0.26371625817023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49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</a:t>
            </a:r>
            <a:r>
              <a:rPr lang="en-IN" b="1" baseline="0"/>
              <a:t> vs I_L with best fit Run 1</a:t>
            </a:r>
            <a:endParaRPr lang="en-IN" b="1"/>
          </a:p>
        </c:rich>
      </c:tx>
      <c:layout>
        <c:manualLayout>
          <c:xMode val="edge"/>
          <c:yMode val="edge"/>
          <c:x val="3.5598203291106335E-2"/>
          <c:y val="2.6524774208729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453843198069868E-2"/>
          <c:y val="0.15709536229996471"/>
          <c:w val="0.92366156788808307"/>
          <c:h val="0.7723660804562638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943350831146104E-2"/>
                  <c:y val="-0.184335335786652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data!$K$109:$K$125</c:f>
              <c:numCache>
                <c:formatCode>General</c:formatCode>
                <c:ptCount val="17"/>
                <c:pt idx="0">
                  <c:v>5</c:v>
                </c:pt>
                <c:pt idx="1">
                  <c:v>4.42</c:v>
                </c:pt>
                <c:pt idx="2">
                  <c:v>3.8</c:v>
                </c:pt>
                <c:pt idx="3">
                  <c:v>3.21</c:v>
                </c:pt>
                <c:pt idx="4">
                  <c:v>2.6</c:v>
                </c:pt>
                <c:pt idx="5">
                  <c:v>2</c:v>
                </c:pt>
                <c:pt idx="6">
                  <c:v>1.4</c:v>
                </c:pt>
                <c:pt idx="7">
                  <c:v>0.78</c:v>
                </c:pt>
                <c:pt idx="8">
                  <c:v>0.2</c:v>
                </c:pt>
                <c:pt idx="9">
                  <c:v>-0.4</c:v>
                </c:pt>
                <c:pt idx="10">
                  <c:v>-0.99</c:v>
                </c:pt>
                <c:pt idx="11">
                  <c:v>-1.6</c:v>
                </c:pt>
                <c:pt idx="12">
                  <c:v>-2.2000000000000002</c:v>
                </c:pt>
                <c:pt idx="13">
                  <c:v>-2.8</c:v>
                </c:pt>
                <c:pt idx="14">
                  <c:v>-3.4</c:v>
                </c:pt>
                <c:pt idx="15">
                  <c:v>-4</c:v>
                </c:pt>
                <c:pt idx="16">
                  <c:v>-4.6100000000000003</c:v>
                </c:pt>
              </c:numCache>
            </c:numRef>
          </c:xVal>
          <c:yVal>
            <c:numRef>
              <c:f>data!$AD$109:$AD$125</c:f>
              <c:numCache>
                <c:formatCode>General</c:formatCode>
                <c:ptCount val="17"/>
                <c:pt idx="0">
                  <c:v>2.6</c:v>
                </c:pt>
                <c:pt idx="1">
                  <c:v>2.4</c:v>
                </c:pt>
                <c:pt idx="2">
                  <c:v>2.0499999999999998</c:v>
                </c:pt>
                <c:pt idx="3">
                  <c:v>1.7</c:v>
                </c:pt>
                <c:pt idx="4">
                  <c:v>1.4</c:v>
                </c:pt>
                <c:pt idx="5">
                  <c:v>1</c:v>
                </c:pt>
                <c:pt idx="6">
                  <c:v>0.6</c:v>
                </c:pt>
                <c:pt idx="7">
                  <c:v>0.25</c:v>
                </c:pt>
                <c:pt idx="8">
                  <c:v>0.1</c:v>
                </c:pt>
                <c:pt idx="9">
                  <c:v>-0.1</c:v>
                </c:pt>
                <c:pt idx="10">
                  <c:v>-0.65</c:v>
                </c:pt>
                <c:pt idx="11">
                  <c:v>-1.2</c:v>
                </c:pt>
                <c:pt idx="12">
                  <c:v>-1.4</c:v>
                </c:pt>
                <c:pt idx="13">
                  <c:v>-1.9</c:v>
                </c:pt>
                <c:pt idx="14">
                  <c:v>-2.2999999999999998</c:v>
                </c:pt>
                <c:pt idx="15">
                  <c:v>-2.6</c:v>
                </c:pt>
                <c:pt idx="16">
                  <c:v>-2.9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1-49B8-AA5A-185AFFCBF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996960"/>
        <c:axId val="1470997440"/>
      </c:scatterChart>
      <c:valAx>
        <c:axId val="1470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Sample</a:t>
                </a:r>
                <a:r>
                  <a:rPr lang="en-IN" b="1" baseline="0"/>
                  <a:t> Current I_L (in A)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36203062941262532"/>
              <c:y val="0.9326458985265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97440"/>
        <c:crosses val="autoZero"/>
        <c:crossBetween val="midCat"/>
      </c:valAx>
      <c:valAx>
        <c:axId val="147099744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Force</a:t>
                </a:r>
                <a:r>
                  <a:rPr lang="en-IN" b="1" baseline="0"/>
                  <a:t> (in mN)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"/>
              <c:y val="0.38573661318682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9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</a:t>
            </a:r>
            <a:r>
              <a:rPr lang="en-IN" b="1" baseline="0"/>
              <a:t> vs I_L with best fit Run 2</a:t>
            </a:r>
            <a:endParaRPr lang="en-IN" b="1"/>
          </a:p>
        </c:rich>
      </c:tx>
      <c:layout>
        <c:manualLayout>
          <c:xMode val="edge"/>
          <c:yMode val="edge"/>
          <c:x val="3.0867891513560824E-2"/>
          <c:y val="3.4282212795363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45383456962813E-2"/>
          <c:y val="0.16032651888702029"/>
          <c:w val="0.92366158458307801"/>
          <c:h val="0.7782702858350665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602580927384078E-2"/>
                  <c:y val="-0.155816706235178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data!$L$109:$L$125</c:f>
              <c:numCache>
                <c:formatCode>General</c:formatCode>
                <c:ptCount val="17"/>
                <c:pt idx="0">
                  <c:v>5</c:v>
                </c:pt>
                <c:pt idx="1">
                  <c:v>4.4000000000000004</c:v>
                </c:pt>
                <c:pt idx="2">
                  <c:v>3.8</c:v>
                </c:pt>
                <c:pt idx="3">
                  <c:v>3.2</c:v>
                </c:pt>
                <c:pt idx="4">
                  <c:v>2.6</c:v>
                </c:pt>
                <c:pt idx="5">
                  <c:v>2.0099999999999998</c:v>
                </c:pt>
                <c:pt idx="6">
                  <c:v>1.4</c:v>
                </c:pt>
                <c:pt idx="7">
                  <c:v>0.8</c:v>
                </c:pt>
                <c:pt idx="8">
                  <c:v>0.18</c:v>
                </c:pt>
                <c:pt idx="9">
                  <c:v>-0.4</c:v>
                </c:pt>
                <c:pt idx="10">
                  <c:v>-0.99</c:v>
                </c:pt>
                <c:pt idx="11">
                  <c:v>-1.6</c:v>
                </c:pt>
                <c:pt idx="12">
                  <c:v>-2.19</c:v>
                </c:pt>
                <c:pt idx="13">
                  <c:v>-2.8</c:v>
                </c:pt>
                <c:pt idx="14">
                  <c:v>-3.4</c:v>
                </c:pt>
                <c:pt idx="15">
                  <c:v>-4</c:v>
                </c:pt>
                <c:pt idx="16">
                  <c:v>-4.6100000000000003</c:v>
                </c:pt>
              </c:numCache>
            </c:numRef>
          </c:xVal>
          <c:yVal>
            <c:numRef>
              <c:f>data!$AE$109:$AE$125</c:f>
              <c:numCache>
                <c:formatCode>General</c:formatCode>
                <c:ptCount val="17"/>
                <c:pt idx="0">
                  <c:v>3</c:v>
                </c:pt>
                <c:pt idx="1">
                  <c:v>2.6</c:v>
                </c:pt>
                <c:pt idx="2">
                  <c:v>2.35</c:v>
                </c:pt>
                <c:pt idx="3">
                  <c:v>2</c:v>
                </c:pt>
                <c:pt idx="4">
                  <c:v>1.55</c:v>
                </c:pt>
                <c:pt idx="5">
                  <c:v>1.3</c:v>
                </c:pt>
                <c:pt idx="6">
                  <c:v>0.9</c:v>
                </c:pt>
                <c:pt idx="7">
                  <c:v>0.5</c:v>
                </c:pt>
                <c:pt idx="8">
                  <c:v>0.2</c:v>
                </c:pt>
                <c:pt idx="9">
                  <c:v>-0.15</c:v>
                </c:pt>
                <c:pt idx="10">
                  <c:v>-0.5</c:v>
                </c:pt>
                <c:pt idx="11">
                  <c:v>-1</c:v>
                </c:pt>
                <c:pt idx="12">
                  <c:v>-1.3</c:v>
                </c:pt>
                <c:pt idx="13">
                  <c:v>-1.6</c:v>
                </c:pt>
                <c:pt idx="14">
                  <c:v>-2</c:v>
                </c:pt>
                <c:pt idx="15">
                  <c:v>-2.35</c:v>
                </c:pt>
                <c:pt idx="16">
                  <c:v>-2.8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E-4DC4-8974-7389F3EA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548880"/>
        <c:axId val="1514626160"/>
      </c:scatterChart>
      <c:valAx>
        <c:axId val="11835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Sample Current I_L (in A)</a:t>
                </a:r>
              </a:p>
            </c:rich>
          </c:tx>
          <c:layout>
            <c:manualLayout>
              <c:xMode val="edge"/>
              <c:yMode val="edge"/>
              <c:x val="0.36879004070828125"/>
              <c:y val="0.933122034783253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626160"/>
        <c:crosses val="autoZero"/>
        <c:crossBetween val="midCat"/>
      </c:valAx>
      <c:valAx>
        <c:axId val="15146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Force (in mN)</a:t>
                </a:r>
              </a:p>
            </c:rich>
          </c:tx>
          <c:layout>
            <c:manualLayout>
              <c:xMode val="edge"/>
              <c:yMode val="edge"/>
              <c:x val="6.779610605410072E-6"/>
              <c:y val="0.38916237211213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5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</a:t>
            </a:r>
            <a:r>
              <a:rPr lang="en-IN" b="1" baseline="0"/>
              <a:t> vs I_L with best fit Run-3</a:t>
            </a:r>
            <a:endParaRPr lang="en-IN" b="1"/>
          </a:p>
        </c:rich>
      </c:tx>
      <c:layout>
        <c:manualLayout>
          <c:xMode val="edge"/>
          <c:yMode val="edge"/>
          <c:x val="4.1623411316628278E-2"/>
          <c:y val="3.0065942152992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231297182546305E-2"/>
          <c:y val="0.15678130405507282"/>
          <c:w val="0.92088411390360658"/>
          <c:h val="0.7578109736228718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624015748031499E-2"/>
                  <c:y val="-0.143681393079002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data!$M$109:$M$125</c:f>
              <c:numCache>
                <c:formatCode>General</c:formatCode>
                <c:ptCount val="17"/>
                <c:pt idx="0">
                  <c:v>5</c:v>
                </c:pt>
                <c:pt idx="1">
                  <c:v>4.4000000000000004</c:v>
                </c:pt>
                <c:pt idx="2">
                  <c:v>3.8</c:v>
                </c:pt>
                <c:pt idx="3">
                  <c:v>3.2</c:v>
                </c:pt>
                <c:pt idx="4">
                  <c:v>2.6</c:v>
                </c:pt>
                <c:pt idx="5">
                  <c:v>2.0099999999999998</c:v>
                </c:pt>
                <c:pt idx="6">
                  <c:v>1.4</c:v>
                </c:pt>
                <c:pt idx="7">
                  <c:v>0.8</c:v>
                </c:pt>
                <c:pt idx="8">
                  <c:v>0.21</c:v>
                </c:pt>
                <c:pt idx="9">
                  <c:v>-0.4</c:v>
                </c:pt>
                <c:pt idx="10">
                  <c:v>-0.99</c:v>
                </c:pt>
                <c:pt idx="11">
                  <c:v>-1.6</c:v>
                </c:pt>
                <c:pt idx="12">
                  <c:v>-2.19</c:v>
                </c:pt>
                <c:pt idx="13">
                  <c:v>-2.8</c:v>
                </c:pt>
                <c:pt idx="14">
                  <c:v>-3.4</c:v>
                </c:pt>
                <c:pt idx="15">
                  <c:v>-4</c:v>
                </c:pt>
                <c:pt idx="16">
                  <c:v>-4.6100000000000003</c:v>
                </c:pt>
              </c:numCache>
            </c:numRef>
          </c:xVal>
          <c:yVal>
            <c:numRef>
              <c:f>data!$AF$109:$AF$125</c:f>
              <c:numCache>
                <c:formatCode>General</c:formatCode>
                <c:ptCount val="17"/>
                <c:pt idx="0">
                  <c:v>3</c:v>
                </c:pt>
                <c:pt idx="1">
                  <c:v>2.7</c:v>
                </c:pt>
                <c:pt idx="2">
                  <c:v>2.4</c:v>
                </c:pt>
                <c:pt idx="3">
                  <c:v>2.1</c:v>
                </c:pt>
                <c:pt idx="4">
                  <c:v>1.66</c:v>
                </c:pt>
                <c:pt idx="5">
                  <c:v>1.3</c:v>
                </c:pt>
                <c:pt idx="6">
                  <c:v>1</c:v>
                </c:pt>
                <c:pt idx="7">
                  <c:v>0.65</c:v>
                </c:pt>
                <c:pt idx="8">
                  <c:v>0.16</c:v>
                </c:pt>
                <c:pt idx="9">
                  <c:v>-0.2</c:v>
                </c:pt>
                <c:pt idx="10">
                  <c:v>-0.35</c:v>
                </c:pt>
                <c:pt idx="11">
                  <c:v>-0.8</c:v>
                </c:pt>
                <c:pt idx="12">
                  <c:v>-1.2</c:v>
                </c:pt>
                <c:pt idx="13">
                  <c:v>-1.3</c:v>
                </c:pt>
                <c:pt idx="14">
                  <c:v>-1.7</c:v>
                </c:pt>
                <c:pt idx="15">
                  <c:v>-2.1</c:v>
                </c:pt>
                <c:pt idx="16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7-438B-857F-B418A23CA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550320"/>
        <c:axId val="1183548880"/>
      </c:scatterChart>
      <c:valAx>
        <c:axId val="118355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Sample Current I_L (in A)</a:t>
                </a:r>
              </a:p>
            </c:rich>
          </c:tx>
          <c:layout>
            <c:manualLayout>
              <c:xMode val="edge"/>
              <c:yMode val="edge"/>
              <c:x val="0.36601266737714083"/>
              <c:y val="0.93448803927762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548880"/>
        <c:crosses val="autoZero"/>
        <c:crossBetween val="midCat"/>
      </c:valAx>
      <c:valAx>
        <c:axId val="1183548880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Force (in mN)</a:t>
                </a:r>
              </a:p>
            </c:rich>
          </c:tx>
          <c:layout>
            <c:manualLayout>
              <c:xMode val="edge"/>
              <c:yMode val="edge"/>
              <c:x val="2.7774539844764379E-3"/>
              <c:y val="0.39749385829528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55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data!$O$109:$O$125</c:f>
              <c:numCache>
                <c:formatCode>General</c:formatCode>
                <c:ptCount val="17"/>
                <c:pt idx="0">
                  <c:v>5</c:v>
                </c:pt>
                <c:pt idx="1">
                  <c:v>4.4000000000000004</c:v>
                </c:pt>
                <c:pt idx="2">
                  <c:v>3.8</c:v>
                </c:pt>
                <c:pt idx="3">
                  <c:v>3.2</c:v>
                </c:pt>
                <c:pt idx="4">
                  <c:v>2.6</c:v>
                </c:pt>
                <c:pt idx="5">
                  <c:v>2.0099999999999998</c:v>
                </c:pt>
                <c:pt idx="6">
                  <c:v>1.4</c:v>
                </c:pt>
                <c:pt idx="7">
                  <c:v>0.8</c:v>
                </c:pt>
                <c:pt idx="8">
                  <c:v>0.19500000000000001</c:v>
                </c:pt>
                <c:pt idx="9">
                  <c:v>-0.4</c:v>
                </c:pt>
                <c:pt idx="10">
                  <c:v>-0.99</c:v>
                </c:pt>
                <c:pt idx="11">
                  <c:v>-1.6</c:v>
                </c:pt>
                <c:pt idx="12">
                  <c:v>-2.19</c:v>
                </c:pt>
                <c:pt idx="13">
                  <c:v>-2.8</c:v>
                </c:pt>
                <c:pt idx="14">
                  <c:v>-3.4</c:v>
                </c:pt>
                <c:pt idx="15">
                  <c:v>-4</c:v>
                </c:pt>
                <c:pt idx="16">
                  <c:v>-4.6100000000000003</c:v>
                </c:pt>
              </c:numCache>
            </c:numRef>
          </c:xVal>
          <c:yVal>
            <c:numRef>
              <c:f>data!$AD$109:$AD$125</c:f>
              <c:numCache>
                <c:formatCode>General</c:formatCode>
                <c:ptCount val="17"/>
                <c:pt idx="0">
                  <c:v>2.6</c:v>
                </c:pt>
                <c:pt idx="1">
                  <c:v>2.4</c:v>
                </c:pt>
                <c:pt idx="2">
                  <c:v>2.0499999999999998</c:v>
                </c:pt>
                <c:pt idx="3">
                  <c:v>1.7</c:v>
                </c:pt>
                <c:pt idx="4">
                  <c:v>1.4</c:v>
                </c:pt>
                <c:pt idx="5">
                  <c:v>1</c:v>
                </c:pt>
                <c:pt idx="6">
                  <c:v>0.6</c:v>
                </c:pt>
                <c:pt idx="7">
                  <c:v>0.25</c:v>
                </c:pt>
                <c:pt idx="8">
                  <c:v>0.1</c:v>
                </c:pt>
                <c:pt idx="9">
                  <c:v>-0.1</c:v>
                </c:pt>
                <c:pt idx="10">
                  <c:v>-0.65</c:v>
                </c:pt>
                <c:pt idx="11">
                  <c:v>-1.2</c:v>
                </c:pt>
                <c:pt idx="12">
                  <c:v>-1.4</c:v>
                </c:pt>
                <c:pt idx="13">
                  <c:v>-1.9</c:v>
                </c:pt>
                <c:pt idx="14">
                  <c:v>-2.2999999999999998</c:v>
                </c:pt>
                <c:pt idx="15">
                  <c:v>-2.6</c:v>
                </c:pt>
                <c:pt idx="16">
                  <c:v>-2.9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1-43F4-B2F7-D306F7961B4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data!$O$109:$O$125</c:f>
              <c:numCache>
                <c:formatCode>General</c:formatCode>
                <c:ptCount val="17"/>
                <c:pt idx="0">
                  <c:v>5</c:v>
                </c:pt>
                <c:pt idx="1">
                  <c:v>4.4000000000000004</c:v>
                </c:pt>
                <c:pt idx="2">
                  <c:v>3.8</c:v>
                </c:pt>
                <c:pt idx="3">
                  <c:v>3.2</c:v>
                </c:pt>
                <c:pt idx="4">
                  <c:v>2.6</c:v>
                </c:pt>
                <c:pt idx="5">
                  <c:v>2.0099999999999998</c:v>
                </c:pt>
                <c:pt idx="6">
                  <c:v>1.4</c:v>
                </c:pt>
                <c:pt idx="7">
                  <c:v>0.8</c:v>
                </c:pt>
                <c:pt idx="8">
                  <c:v>0.19500000000000001</c:v>
                </c:pt>
                <c:pt idx="9">
                  <c:v>-0.4</c:v>
                </c:pt>
                <c:pt idx="10">
                  <c:v>-0.99</c:v>
                </c:pt>
                <c:pt idx="11">
                  <c:v>-1.6</c:v>
                </c:pt>
                <c:pt idx="12">
                  <c:v>-2.19</c:v>
                </c:pt>
                <c:pt idx="13">
                  <c:v>-2.8</c:v>
                </c:pt>
                <c:pt idx="14">
                  <c:v>-3.4</c:v>
                </c:pt>
                <c:pt idx="15">
                  <c:v>-4</c:v>
                </c:pt>
                <c:pt idx="16">
                  <c:v>-4.6100000000000003</c:v>
                </c:pt>
              </c:numCache>
            </c:numRef>
          </c:xVal>
          <c:yVal>
            <c:numRef>
              <c:f>data!$AE$109:$AE$125</c:f>
              <c:numCache>
                <c:formatCode>General</c:formatCode>
                <c:ptCount val="17"/>
                <c:pt idx="0">
                  <c:v>3</c:v>
                </c:pt>
                <c:pt idx="1">
                  <c:v>2.6</c:v>
                </c:pt>
                <c:pt idx="2">
                  <c:v>2.35</c:v>
                </c:pt>
                <c:pt idx="3">
                  <c:v>2</c:v>
                </c:pt>
                <c:pt idx="4">
                  <c:v>1.55</c:v>
                </c:pt>
                <c:pt idx="5">
                  <c:v>1.3</c:v>
                </c:pt>
                <c:pt idx="6">
                  <c:v>0.9</c:v>
                </c:pt>
                <c:pt idx="7">
                  <c:v>0.5</c:v>
                </c:pt>
                <c:pt idx="8">
                  <c:v>0.2</c:v>
                </c:pt>
                <c:pt idx="9">
                  <c:v>-0.15</c:v>
                </c:pt>
                <c:pt idx="10">
                  <c:v>-0.5</c:v>
                </c:pt>
                <c:pt idx="11">
                  <c:v>-1</c:v>
                </c:pt>
                <c:pt idx="12">
                  <c:v>-1.3</c:v>
                </c:pt>
                <c:pt idx="13">
                  <c:v>-1.6</c:v>
                </c:pt>
                <c:pt idx="14">
                  <c:v>-2</c:v>
                </c:pt>
                <c:pt idx="15">
                  <c:v>-2.35</c:v>
                </c:pt>
                <c:pt idx="16">
                  <c:v>-2.8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21-43F4-B2F7-D306F7961B46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data!$O$109:$O$125</c:f>
              <c:numCache>
                <c:formatCode>General</c:formatCode>
                <c:ptCount val="17"/>
                <c:pt idx="0">
                  <c:v>5</c:v>
                </c:pt>
                <c:pt idx="1">
                  <c:v>4.4000000000000004</c:v>
                </c:pt>
                <c:pt idx="2">
                  <c:v>3.8</c:v>
                </c:pt>
                <c:pt idx="3">
                  <c:v>3.2</c:v>
                </c:pt>
                <c:pt idx="4">
                  <c:v>2.6</c:v>
                </c:pt>
                <c:pt idx="5">
                  <c:v>2.0099999999999998</c:v>
                </c:pt>
                <c:pt idx="6">
                  <c:v>1.4</c:v>
                </c:pt>
                <c:pt idx="7">
                  <c:v>0.8</c:v>
                </c:pt>
                <c:pt idx="8">
                  <c:v>0.19500000000000001</c:v>
                </c:pt>
                <c:pt idx="9">
                  <c:v>-0.4</c:v>
                </c:pt>
                <c:pt idx="10">
                  <c:v>-0.99</c:v>
                </c:pt>
                <c:pt idx="11">
                  <c:v>-1.6</c:v>
                </c:pt>
                <c:pt idx="12">
                  <c:v>-2.19</c:v>
                </c:pt>
                <c:pt idx="13">
                  <c:v>-2.8</c:v>
                </c:pt>
                <c:pt idx="14">
                  <c:v>-3.4</c:v>
                </c:pt>
                <c:pt idx="15">
                  <c:v>-4</c:v>
                </c:pt>
                <c:pt idx="16">
                  <c:v>-4.6100000000000003</c:v>
                </c:pt>
              </c:numCache>
            </c:numRef>
          </c:xVal>
          <c:yVal>
            <c:numRef>
              <c:f>data!$AF$109:$AF$125</c:f>
              <c:numCache>
                <c:formatCode>General</c:formatCode>
                <c:ptCount val="17"/>
                <c:pt idx="0">
                  <c:v>3</c:v>
                </c:pt>
                <c:pt idx="1">
                  <c:v>2.7</c:v>
                </c:pt>
                <c:pt idx="2">
                  <c:v>2.4</c:v>
                </c:pt>
                <c:pt idx="3">
                  <c:v>2.1</c:v>
                </c:pt>
                <c:pt idx="4">
                  <c:v>1.66</c:v>
                </c:pt>
                <c:pt idx="5">
                  <c:v>1.3</c:v>
                </c:pt>
                <c:pt idx="6">
                  <c:v>1</c:v>
                </c:pt>
                <c:pt idx="7">
                  <c:v>0.65</c:v>
                </c:pt>
                <c:pt idx="8">
                  <c:v>0.16</c:v>
                </c:pt>
                <c:pt idx="9">
                  <c:v>-0.2</c:v>
                </c:pt>
                <c:pt idx="10">
                  <c:v>-0.35</c:v>
                </c:pt>
                <c:pt idx="11">
                  <c:v>-0.8</c:v>
                </c:pt>
                <c:pt idx="12">
                  <c:v>-1.2</c:v>
                </c:pt>
                <c:pt idx="13">
                  <c:v>-1.3</c:v>
                </c:pt>
                <c:pt idx="14">
                  <c:v>-1.7</c:v>
                </c:pt>
                <c:pt idx="15">
                  <c:v>-2.1</c:v>
                </c:pt>
                <c:pt idx="16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21-43F4-B2F7-D306F7961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896016"/>
        <c:axId val="1499896496"/>
      </c:scatterChart>
      <c:valAx>
        <c:axId val="149989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896496"/>
        <c:crosses val="autoZero"/>
        <c:crossBetween val="midCat"/>
      </c:valAx>
      <c:valAx>
        <c:axId val="14998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89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164522</xdr:colOff>
      <xdr:row>110</xdr:row>
      <xdr:rowOff>65807</xdr:rowOff>
    </xdr:from>
    <xdr:to>
      <xdr:col>24</xdr:col>
      <xdr:colOff>285750</xdr:colOff>
      <xdr:row>125</xdr:row>
      <xdr:rowOff>81393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3B2DC-EA8A-EF5C-A235-C62B29B40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284274</xdr:colOff>
      <xdr:row>60</xdr:row>
      <xdr:rowOff>111125</xdr:rowOff>
    </xdr:from>
    <xdr:to>
      <xdr:col>18</xdr:col>
      <xdr:colOff>385874</xdr:colOff>
      <xdr:row>75</xdr:row>
      <xdr:rowOff>92074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494B2B-F399-9A6F-A471-EF3C5D6C7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760848</xdr:colOff>
      <xdr:row>30</xdr:row>
      <xdr:rowOff>137274</xdr:rowOff>
    </xdr:from>
    <xdr:to>
      <xdr:col>15</xdr:col>
      <xdr:colOff>880946</xdr:colOff>
      <xdr:row>45</xdr:row>
      <xdr:rowOff>162743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0399E0-B1AF-017A-3EBC-83E7CFDDB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118815</xdr:colOff>
      <xdr:row>87</xdr:row>
      <xdr:rowOff>50335</xdr:rowOff>
    </xdr:from>
    <xdr:to>
      <xdr:col>21</xdr:col>
      <xdr:colOff>229940</xdr:colOff>
      <xdr:row>102</xdr:row>
      <xdr:rowOff>55098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352B15-275D-F5BE-8740-06CF596F2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814802</xdr:colOff>
      <xdr:row>133</xdr:row>
      <xdr:rowOff>101151</xdr:rowOff>
    </xdr:from>
    <xdr:to>
      <xdr:col>10</xdr:col>
      <xdr:colOff>934900</xdr:colOff>
      <xdr:row>148</xdr:row>
      <xdr:rowOff>126620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EDB41D-705E-5EF1-7FB7-93A7CD1A9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220213</xdr:colOff>
      <xdr:row>87</xdr:row>
      <xdr:rowOff>158093</xdr:rowOff>
    </xdr:from>
    <xdr:to>
      <xdr:col>13</xdr:col>
      <xdr:colOff>340310</xdr:colOff>
      <xdr:row>103</xdr:row>
      <xdr:rowOff>2380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37CDF-00F8-C084-49DF-A0F01F1D8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571300</xdr:colOff>
      <xdr:row>127</xdr:row>
      <xdr:rowOff>67901</xdr:rowOff>
    </xdr:from>
    <xdr:to>
      <xdr:col>28</xdr:col>
      <xdr:colOff>680157</xdr:colOff>
      <xdr:row>143</xdr:row>
      <xdr:rowOff>71981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72F4D59-A594-B108-FD5B-D41C3C935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693097</xdr:colOff>
      <xdr:row>127</xdr:row>
      <xdr:rowOff>59817</xdr:rowOff>
    </xdr:from>
    <xdr:to>
      <xdr:col>32</xdr:col>
      <xdr:colOff>801954</xdr:colOff>
      <xdr:row>143</xdr:row>
      <xdr:rowOff>84310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9C82BAA-7723-512E-092E-4255DA4D1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790747</xdr:colOff>
      <xdr:row>127</xdr:row>
      <xdr:rowOff>61283</xdr:rowOff>
    </xdr:from>
    <xdr:to>
      <xdr:col>36</xdr:col>
      <xdr:colOff>899604</xdr:colOff>
      <xdr:row>143</xdr:row>
      <xdr:rowOff>152212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937913-C246-8777-64CF-C86AE91A0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677331</xdr:colOff>
      <xdr:row>144</xdr:row>
      <xdr:rowOff>92426</xdr:rowOff>
    </xdr:from>
    <xdr:to>
      <xdr:col>32</xdr:col>
      <xdr:colOff>780813</xdr:colOff>
      <xdr:row>159</xdr:row>
      <xdr:rowOff>101598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0E7AE63-08E3-64F0-DD65-81D1E138C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26C1-B2FE-4209-9118-2A48D0E256C3}">
  <dimension ref="A1:AF153"/>
  <sheetViews>
    <sheetView topLeftCell="A127" zoomScale="97" workbookViewId="0">
      <selection activeCell="B154" sqref="B154"/>
    </sheetView>
  </sheetViews>
  <sheetFormatPr defaultColWidth="15.59765625" defaultRowHeight="14.25" x14ac:dyDescent="0.45"/>
  <sheetData>
    <row r="1" spans="1:14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45">
      <c r="A2" s="1" t="s">
        <v>0</v>
      </c>
      <c r="B2" s="1"/>
      <c r="C2" s="1"/>
      <c r="D2" s="1"/>
      <c r="E2" s="1"/>
      <c r="F2" s="1" t="s">
        <v>0</v>
      </c>
      <c r="G2" s="1"/>
      <c r="H2" s="1"/>
      <c r="I2" s="1"/>
      <c r="J2" s="1"/>
      <c r="K2" s="1"/>
      <c r="L2" s="1"/>
      <c r="M2" s="1"/>
      <c r="N2" s="1"/>
    </row>
    <row r="3" spans="1:14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45">
      <c r="A4" s="2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45">
      <c r="A6" s="1" t="s">
        <v>2</v>
      </c>
      <c r="B6" s="1"/>
      <c r="C6" s="1" t="s">
        <v>3</v>
      </c>
      <c r="D6" s="1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45">
      <c r="A8" s="1">
        <v>2.6</v>
      </c>
      <c r="B8" s="1"/>
      <c r="C8" s="1">
        <v>1.5</v>
      </c>
      <c r="D8" s="1">
        <v>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45">
      <c r="A9" s="1">
        <v>2.2000000000000002</v>
      </c>
      <c r="B9" s="1"/>
      <c r="C9" s="1">
        <v>1.5</v>
      </c>
      <c r="D9" s="1">
        <v>0.9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45">
      <c r="A10" s="1">
        <v>1.8</v>
      </c>
      <c r="B10" s="1"/>
      <c r="C10" s="1">
        <v>1.5</v>
      </c>
      <c r="D10" s="1">
        <v>0.7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5">
      <c r="A11" s="1">
        <v>1.4</v>
      </c>
      <c r="B11" s="1"/>
      <c r="C11" s="1">
        <v>1.5</v>
      </c>
      <c r="D11" s="1">
        <v>0.56000000000000005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45">
      <c r="A12" s="1">
        <v>1</v>
      </c>
      <c r="B12" s="1"/>
      <c r="C12" s="1">
        <v>1.5</v>
      </c>
      <c r="D12" s="1">
        <v>0.35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45">
      <c r="A13" s="1">
        <v>0.6</v>
      </c>
      <c r="B13" s="1"/>
      <c r="C13" s="1">
        <v>1.5</v>
      </c>
      <c r="D13" s="1">
        <v>0.2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45">
      <c r="A14" s="1">
        <v>0.2</v>
      </c>
      <c r="B14" s="1"/>
      <c r="C14" s="1">
        <v>1.5</v>
      </c>
      <c r="D14" s="1">
        <v>0.1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45">
      <c r="A15" s="1">
        <v>-0.2</v>
      </c>
      <c r="B15" s="1"/>
      <c r="C15" s="1">
        <v>1.5</v>
      </c>
      <c r="D15" s="1">
        <v>-0.1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45">
      <c r="A16" s="1">
        <v>-0.6</v>
      </c>
      <c r="B16" s="1"/>
      <c r="C16" s="1">
        <v>1.5</v>
      </c>
      <c r="D16" s="1">
        <v>-0.24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45">
      <c r="A17" s="1">
        <v>-1</v>
      </c>
      <c r="B17" s="1"/>
      <c r="C17" s="1">
        <v>1.5</v>
      </c>
      <c r="D17" s="1">
        <v>-0.4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5">
      <c r="A18" s="1">
        <v>-1.4</v>
      </c>
      <c r="B18" s="1"/>
      <c r="C18" s="1">
        <v>1.5</v>
      </c>
      <c r="D18" s="1">
        <v>-0.5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5">
      <c r="A19" s="1">
        <v>-1.8</v>
      </c>
      <c r="B19" s="1"/>
      <c r="C19" s="1">
        <v>1.5</v>
      </c>
      <c r="D19" s="1">
        <v>-0.64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5">
      <c r="A20" s="1">
        <v>-2.2000000000000002</v>
      </c>
      <c r="B20" s="1"/>
      <c r="C20" s="1">
        <v>1.5</v>
      </c>
      <c r="D20" s="1">
        <v>-0.8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s="1">
        <v>-2.6</v>
      </c>
      <c r="B21" s="1"/>
      <c r="C21" s="1">
        <v>1.5</v>
      </c>
      <c r="D21" s="1">
        <v>-0.9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A22" s="1" t="s">
        <v>0</v>
      </c>
      <c r="B22" s="1"/>
      <c r="C22" s="1"/>
      <c r="D22" s="1"/>
      <c r="E22" s="1" t="s">
        <v>5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s="1" t="s">
        <v>6</v>
      </c>
      <c r="B23" s="1" t="s">
        <v>7</v>
      </c>
      <c r="C23" s="1" t="s">
        <v>8</v>
      </c>
      <c r="D23" s="1" t="s">
        <v>9</v>
      </c>
      <c r="E23" s="1" t="s">
        <v>6</v>
      </c>
      <c r="F23" s="1" t="s">
        <v>7</v>
      </c>
      <c r="G23" s="1" t="s">
        <v>8</v>
      </c>
      <c r="H23" s="1"/>
      <c r="I23" s="1" t="s">
        <v>54</v>
      </c>
      <c r="J23" s="1" t="s">
        <v>55</v>
      </c>
      <c r="K23" s="1"/>
      <c r="L23" s="1" t="s">
        <v>56</v>
      </c>
      <c r="M23" s="1"/>
      <c r="N23" s="1"/>
    </row>
    <row r="24" spans="1:14" x14ac:dyDescent="0.45">
      <c r="A24" s="1" t="s">
        <v>10</v>
      </c>
      <c r="B24" s="1" t="s">
        <v>11</v>
      </c>
      <c r="C24" s="1" t="s">
        <v>11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 t="s">
        <v>75</v>
      </c>
      <c r="L25" s="1"/>
      <c r="M25" s="1"/>
      <c r="N25" s="1" cm="1">
        <f t="array" ref="N25">AVERAGE(ABS(J26:J52))</f>
        <v>0.57444444444444442</v>
      </c>
    </row>
    <row r="26" spans="1:14" x14ac:dyDescent="0.45">
      <c r="A26" s="1">
        <v>2.6</v>
      </c>
      <c r="B26" s="1">
        <v>2.6</v>
      </c>
      <c r="C26" s="1">
        <v>2.6</v>
      </c>
      <c r="D26" s="1">
        <v>1.8</v>
      </c>
      <c r="E26" s="1">
        <v>1.1000000000000001</v>
      </c>
      <c r="F26" s="1">
        <v>1.1000000000000001</v>
      </c>
      <c r="G26" s="1">
        <v>1.1000000000000001</v>
      </c>
      <c r="H26" s="1"/>
      <c r="I26" s="1">
        <f>AVERAGE(A26:C26)</f>
        <v>2.6</v>
      </c>
      <c r="J26" s="1">
        <f>AVERAGE(E26:G26)</f>
        <v>1.1000000000000001</v>
      </c>
      <c r="K26" s="1">
        <f>J26*0.11/1000</f>
        <v>1.2100000000000001E-4</v>
      </c>
      <c r="L26" s="1"/>
      <c r="M26" s="1"/>
      <c r="N26" s="1" cm="1">
        <f t="array" ref="N26">AVERAGE(ABS(I26:I52))</f>
        <v>1.3480246913580247</v>
      </c>
    </row>
    <row r="27" spans="1:14" x14ac:dyDescent="0.45">
      <c r="A27" s="1">
        <v>2.4</v>
      </c>
      <c r="B27" s="1">
        <v>2.4</v>
      </c>
      <c r="C27" s="1">
        <v>2.4</v>
      </c>
      <c r="D27" s="1">
        <v>1.8</v>
      </c>
      <c r="E27" s="1">
        <v>1</v>
      </c>
      <c r="F27" s="1">
        <v>1</v>
      </c>
      <c r="G27" s="1">
        <v>1</v>
      </c>
      <c r="H27" s="1"/>
      <c r="I27" s="1">
        <f t="shared" ref="I27:I52" si="0">AVERAGE(A27:C27)</f>
        <v>2.4</v>
      </c>
      <c r="J27" s="1">
        <f t="shared" ref="J27:J52" si="1">AVERAGE(E27:G27)</f>
        <v>1</v>
      </c>
      <c r="K27" s="1">
        <f t="shared" ref="K27:K52" si="2">J27*0.11/1000</f>
        <v>1.1E-4</v>
      </c>
      <c r="L27" s="1"/>
      <c r="M27" s="1"/>
      <c r="N27" s="1"/>
    </row>
    <row r="28" spans="1:14" x14ac:dyDescent="0.45">
      <c r="A28" s="1">
        <v>2.2000000000000002</v>
      </c>
      <c r="B28" s="1">
        <v>2.2000000000000002</v>
      </c>
      <c r="C28" s="1">
        <v>2.2000000000000002</v>
      </c>
      <c r="D28" s="1">
        <v>1.8</v>
      </c>
      <c r="E28" s="1">
        <v>0.9</v>
      </c>
      <c r="F28" s="1">
        <v>0.9</v>
      </c>
      <c r="G28" s="1">
        <v>0.9</v>
      </c>
      <c r="H28" s="1"/>
      <c r="I28" s="1">
        <f t="shared" si="0"/>
        <v>2.2000000000000002</v>
      </c>
      <c r="J28" s="1">
        <f t="shared" si="1"/>
        <v>0.9</v>
      </c>
      <c r="K28" s="1">
        <f t="shared" si="2"/>
        <v>9.9000000000000008E-5</v>
      </c>
      <c r="L28" s="1"/>
      <c r="M28" s="1"/>
      <c r="N28" s="1"/>
    </row>
    <row r="29" spans="1:14" x14ac:dyDescent="0.45">
      <c r="A29" s="1">
        <v>2</v>
      </c>
      <c r="B29" s="1">
        <v>2</v>
      </c>
      <c r="C29" s="1">
        <v>2</v>
      </c>
      <c r="D29" s="1">
        <v>1.8</v>
      </c>
      <c r="E29" s="1">
        <v>0.8</v>
      </c>
      <c r="F29" s="1">
        <v>0.8</v>
      </c>
      <c r="G29" s="1">
        <v>0.8</v>
      </c>
      <c r="H29" s="1"/>
      <c r="I29" s="1">
        <f t="shared" si="0"/>
        <v>2</v>
      </c>
      <c r="J29" s="1">
        <f t="shared" si="1"/>
        <v>0.80000000000000016</v>
      </c>
      <c r="K29" s="1">
        <f t="shared" si="2"/>
        <v>8.8000000000000025E-5</v>
      </c>
      <c r="L29" s="1"/>
      <c r="M29" s="1"/>
      <c r="N29" s="1"/>
    </row>
    <row r="30" spans="1:14" x14ac:dyDescent="0.45">
      <c r="A30" s="1">
        <v>1.8</v>
      </c>
      <c r="B30" s="1">
        <v>1.8</v>
      </c>
      <c r="C30" s="1">
        <v>1.8</v>
      </c>
      <c r="D30" s="1">
        <v>1.8</v>
      </c>
      <c r="E30" s="1">
        <v>0.7</v>
      </c>
      <c r="F30" s="1">
        <v>0.7</v>
      </c>
      <c r="G30" s="1">
        <v>0.73</v>
      </c>
      <c r="H30" s="1"/>
      <c r="I30" s="1">
        <f t="shared" si="0"/>
        <v>1.8</v>
      </c>
      <c r="J30" s="1">
        <f t="shared" si="1"/>
        <v>0.71</v>
      </c>
      <c r="K30" s="1">
        <f t="shared" si="2"/>
        <v>7.8100000000000001E-5</v>
      </c>
      <c r="L30" s="1"/>
      <c r="M30" s="1"/>
      <c r="N30" s="1"/>
    </row>
    <row r="31" spans="1:14" x14ac:dyDescent="0.45">
      <c r="A31" s="1">
        <v>1.59</v>
      </c>
      <c r="B31" s="1">
        <v>1.59</v>
      </c>
      <c r="C31" s="1">
        <v>1.59</v>
      </c>
      <c r="D31" s="1">
        <v>1.8</v>
      </c>
      <c r="E31" s="1">
        <v>0.66</v>
      </c>
      <c r="F31" s="1">
        <v>0.66</v>
      </c>
      <c r="G31" s="1">
        <v>0.66</v>
      </c>
      <c r="H31" s="1"/>
      <c r="I31" s="1">
        <f t="shared" si="0"/>
        <v>1.59</v>
      </c>
      <c r="J31" s="1">
        <f t="shared" si="1"/>
        <v>0.66</v>
      </c>
      <c r="K31" s="1">
        <f t="shared" si="2"/>
        <v>7.2600000000000003E-5</v>
      </c>
      <c r="L31" s="1"/>
      <c r="M31" s="1"/>
      <c r="N31" s="1"/>
    </row>
    <row r="32" spans="1:14" x14ac:dyDescent="0.45">
      <c r="A32" s="1">
        <v>1.39</v>
      </c>
      <c r="B32" s="1">
        <v>1.4</v>
      </c>
      <c r="C32" s="1">
        <v>1.41</v>
      </c>
      <c r="D32" s="1">
        <v>1.8</v>
      </c>
      <c r="E32" s="1">
        <v>0.6</v>
      </c>
      <c r="F32" s="1">
        <v>0.5</v>
      </c>
      <c r="G32" s="1">
        <v>0.54</v>
      </c>
      <c r="H32" s="1"/>
      <c r="I32" s="1">
        <f t="shared" si="0"/>
        <v>1.4000000000000001</v>
      </c>
      <c r="J32" s="1">
        <f t="shared" si="1"/>
        <v>0.54666666666666675</v>
      </c>
      <c r="K32" s="1">
        <f t="shared" si="2"/>
        <v>6.0133333333333343E-5</v>
      </c>
      <c r="L32" s="1"/>
      <c r="M32" s="1"/>
      <c r="N32" s="1"/>
    </row>
    <row r="33" spans="1:19" x14ac:dyDescent="0.45">
      <c r="A33" s="1">
        <v>1.2</v>
      </c>
      <c r="B33" s="1">
        <v>1.2</v>
      </c>
      <c r="C33" s="1">
        <v>1.2</v>
      </c>
      <c r="D33" s="1">
        <v>1.8</v>
      </c>
      <c r="E33" s="1">
        <v>0.54</v>
      </c>
      <c r="F33" s="1">
        <v>0.54</v>
      </c>
      <c r="G33" s="1">
        <v>0.54</v>
      </c>
      <c r="H33" s="1"/>
      <c r="I33" s="1">
        <f t="shared" si="0"/>
        <v>1.2</v>
      </c>
      <c r="J33" s="1">
        <f t="shared" si="1"/>
        <v>0.54</v>
      </c>
      <c r="K33" s="1">
        <f t="shared" si="2"/>
        <v>5.94E-5</v>
      </c>
      <c r="L33" s="1"/>
      <c r="M33" s="1"/>
      <c r="N33" s="1"/>
    </row>
    <row r="34" spans="1:19" x14ac:dyDescent="0.45">
      <c r="A34" s="1">
        <v>1</v>
      </c>
      <c r="B34" s="1">
        <v>1</v>
      </c>
      <c r="C34" s="1">
        <v>0.99</v>
      </c>
      <c r="D34" s="1">
        <v>1.8</v>
      </c>
      <c r="E34" s="1">
        <v>0.4</v>
      </c>
      <c r="F34" s="1">
        <v>0.4</v>
      </c>
      <c r="G34" s="1">
        <v>0.4</v>
      </c>
      <c r="H34" s="1"/>
      <c r="I34" s="1">
        <f t="shared" si="0"/>
        <v>0.9966666666666667</v>
      </c>
      <c r="J34" s="1">
        <f t="shared" si="1"/>
        <v>0.40000000000000008</v>
      </c>
      <c r="K34" s="1">
        <f t="shared" si="2"/>
        <v>4.4000000000000012E-5</v>
      </c>
      <c r="L34" s="1"/>
      <c r="M34" s="1"/>
      <c r="N34" s="1"/>
    </row>
    <row r="35" spans="1:19" x14ac:dyDescent="0.45">
      <c r="A35" s="1">
        <v>0.8</v>
      </c>
      <c r="B35" s="1">
        <v>0.8</v>
      </c>
      <c r="C35" s="1">
        <v>0.8</v>
      </c>
      <c r="D35" s="1">
        <v>1.79</v>
      </c>
      <c r="E35" s="1">
        <v>0.3</v>
      </c>
      <c r="F35" s="1">
        <v>0.3</v>
      </c>
      <c r="G35" s="1">
        <v>0.3</v>
      </c>
      <c r="H35" s="1"/>
      <c r="I35" s="1">
        <f t="shared" si="0"/>
        <v>0.80000000000000016</v>
      </c>
      <c r="J35" s="1">
        <f t="shared" si="1"/>
        <v>0.3</v>
      </c>
      <c r="K35" s="1">
        <f t="shared" si="2"/>
        <v>3.3000000000000003E-5</v>
      </c>
      <c r="L35" s="1"/>
      <c r="M35" s="1"/>
      <c r="N35" s="1"/>
    </row>
    <row r="36" spans="1:19" x14ac:dyDescent="0.45">
      <c r="A36" s="1">
        <v>0.6</v>
      </c>
      <c r="B36" s="1">
        <v>0.61</v>
      </c>
      <c r="C36" s="1">
        <v>0.6</v>
      </c>
      <c r="D36" s="1">
        <v>1.79</v>
      </c>
      <c r="E36" s="1">
        <v>0.3</v>
      </c>
      <c r="F36" s="1">
        <v>0.3</v>
      </c>
      <c r="G36" s="3">
        <v>0.2</v>
      </c>
      <c r="H36" s="1"/>
      <c r="I36" s="1">
        <f t="shared" si="0"/>
        <v>0.60333333333333339</v>
      </c>
      <c r="J36" s="1">
        <f t="shared" si="1"/>
        <v>0.26666666666666666</v>
      </c>
      <c r="K36" s="1">
        <f t="shared" si="2"/>
        <v>2.9333333333333333E-5</v>
      </c>
      <c r="L36" s="1"/>
      <c r="M36" s="1"/>
      <c r="N36" s="1"/>
    </row>
    <row r="37" spans="1:19" x14ac:dyDescent="0.45">
      <c r="A37" s="1">
        <v>0.4</v>
      </c>
      <c r="B37" s="1">
        <v>0.4</v>
      </c>
      <c r="C37" s="1">
        <v>0.4</v>
      </c>
      <c r="D37" s="1">
        <v>1.79</v>
      </c>
      <c r="E37" s="1">
        <v>0.25</v>
      </c>
      <c r="F37" s="1">
        <v>0.25</v>
      </c>
      <c r="G37" s="1">
        <v>0.25</v>
      </c>
      <c r="H37" s="1"/>
      <c r="I37" s="1">
        <f t="shared" si="0"/>
        <v>0.40000000000000008</v>
      </c>
      <c r="J37" s="1">
        <f t="shared" si="1"/>
        <v>0.25</v>
      </c>
      <c r="K37" s="1">
        <f t="shared" si="2"/>
        <v>2.7500000000000001E-5</v>
      </c>
      <c r="L37" s="1"/>
      <c r="M37" s="1"/>
      <c r="N37" s="1"/>
    </row>
    <row r="38" spans="1:19" x14ac:dyDescent="0.45">
      <c r="A38" s="1">
        <v>0.2</v>
      </c>
      <c r="B38" s="1">
        <v>0.2</v>
      </c>
      <c r="C38" s="1">
        <v>0.2</v>
      </c>
      <c r="D38" s="1">
        <v>1.79</v>
      </c>
      <c r="E38" s="1">
        <v>0.1</v>
      </c>
      <c r="F38" s="1">
        <v>0.1</v>
      </c>
      <c r="G38" s="1">
        <v>0.1</v>
      </c>
      <c r="H38" s="1"/>
      <c r="I38" s="1">
        <f t="shared" si="0"/>
        <v>0.20000000000000004</v>
      </c>
      <c r="J38" s="1">
        <f t="shared" si="1"/>
        <v>0.10000000000000002</v>
      </c>
      <c r="K38" s="1">
        <f t="shared" si="2"/>
        <v>1.1000000000000003E-5</v>
      </c>
      <c r="L38" s="1"/>
      <c r="M38" s="1"/>
      <c r="N38" s="1"/>
      <c r="Q38" t="s">
        <v>80</v>
      </c>
      <c r="R38" cm="1">
        <f t="array" ref="R38:S38">LINEST(K26:K52,I26:I52)</f>
        <v>4.6457478095495172E-5</v>
      </c>
      <c r="S38">
        <v>-1.4515694579657375E-6</v>
      </c>
    </row>
    <row r="39" spans="1:19" x14ac:dyDescent="0.45">
      <c r="A39" s="1">
        <v>0</v>
      </c>
      <c r="B39" s="1">
        <v>0</v>
      </c>
      <c r="C39" s="1">
        <v>0</v>
      </c>
      <c r="D39" s="1">
        <v>1.79</v>
      </c>
      <c r="E39" s="1">
        <v>0</v>
      </c>
      <c r="F39" s="1">
        <v>0</v>
      </c>
      <c r="G39" s="1">
        <v>0</v>
      </c>
      <c r="H39" s="1"/>
      <c r="I39" s="1">
        <f t="shared" si="0"/>
        <v>0</v>
      </c>
      <c r="J39" s="1">
        <f t="shared" si="1"/>
        <v>0</v>
      </c>
      <c r="K39" s="1">
        <f t="shared" si="2"/>
        <v>0</v>
      </c>
      <c r="L39" s="1"/>
      <c r="M39" s="1"/>
      <c r="N39" s="1"/>
    </row>
    <row r="40" spans="1:19" x14ac:dyDescent="0.45">
      <c r="A40" s="1">
        <v>-0.2</v>
      </c>
      <c r="B40" s="1">
        <v>-0.2</v>
      </c>
      <c r="C40" s="1">
        <v>-0.2</v>
      </c>
      <c r="D40" s="1">
        <v>1.79</v>
      </c>
      <c r="E40" s="1">
        <v>-0.1</v>
      </c>
      <c r="F40" s="1">
        <v>-0.1</v>
      </c>
      <c r="G40" s="1">
        <v>-0.1</v>
      </c>
      <c r="H40" s="1"/>
      <c r="I40" s="1">
        <f t="shared" si="0"/>
        <v>-0.20000000000000004</v>
      </c>
      <c r="J40" s="1">
        <f t="shared" si="1"/>
        <v>-0.10000000000000002</v>
      </c>
      <c r="K40" s="1">
        <f t="shared" si="2"/>
        <v>-1.1000000000000003E-5</v>
      </c>
      <c r="L40" s="1"/>
      <c r="M40" s="1"/>
      <c r="N40" s="1"/>
    </row>
    <row r="41" spans="1:19" x14ac:dyDescent="0.45">
      <c r="A41" s="1">
        <v>-0.4</v>
      </c>
      <c r="B41" s="1">
        <v>-0.4</v>
      </c>
      <c r="C41" s="1">
        <v>-0.4</v>
      </c>
      <c r="D41" s="1">
        <v>1.8</v>
      </c>
      <c r="E41" s="1">
        <v>-0.2</v>
      </c>
      <c r="F41" s="1">
        <v>-0.2</v>
      </c>
      <c r="G41" s="1">
        <v>-0.2</v>
      </c>
      <c r="H41" s="1"/>
      <c r="I41" s="1">
        <f t="shared" si="0"/>
        <v>-0.40000000000000008</v>
      </c>
      <c r="J41" s="1">
        <f t="shared" si="1"/>
        <v>-0.20000000000000004</v>
      </c>
      <c r="K41" s="1">
        <f t="shared" si="2"/>
        <v>-2.2000000000000006E-5</v>
      </c>
      <c r="L41" s="1"/>
      <c r="M41" s="1"/>
      <c r="N41" s="1"/>
    </row>
    <row r="42" spans="1:19" x14ac:dyDescent="0.45">
      <c r="A42" s="1">
        <v>-0.6</v>
      </c>
      <c r="B42" s="1">
        <v>-0.6</v>
      </c>
      <c r="C42" s="1">
        <v>-0.6</v>
      </c>
      <c r="D42" s="1">
        <v>1.8</v>
      </c>
      <c r="E42" s="1">
        <v>-0.25</v>
      </c>
      <c r="F42" s="1">
        <v>-0.3</v>
      </c>
      <c r="G42" s="1">
        <v>-0.3</v>
      </c>
      <c r="H42" s="1"/>
      <c r="I42" s="1">
        <f t="shared" si="0"/>
        <v>-0.6</v>
      </c>
      <c r="J42" s="1">
        <f t="shared" si="1"/>
        <v>-0.28333333333333338</v>
      </c>
      <c r="K42" s="1">
        <f t="shared" si="2"/>
        <v>-3.1166666666666674E-5</v>
      </c>
      <c r="L42" s="1"/>
      <c r="M42" s="1"/>
      <c r="N42" s="1"/>
    </row>
    <row r="43" spans="1:19" x14ac:dyDescent="0.45">
      <c r="A43" s="1">
        <v>-0.8</v>
      </c>
      <c r="B43" s="1">
        <v>-0.8</v>
      </c>
      <c r="C43" s="1">
        <v>-0.8</v>
      </c>
      <c r="D43" s="1">
        <v>1.8</v>
      </c>
      <c r="E43" s="1">
        <v>-0.35</v>
      </c>
      <c r="F43" s="1">
        <v>-0.35</v>
      </c>
      <c r="G43" s="1">
        <v>-0.35</v>
      </c>
      <c r="H43" s="1"/>
      <c r="I43" s="1">
        <f t="shared" si="0"/>
        <v>-0.80000000000000016</v>
      </c>
      <c r="J43" s="1">
        <f t="shared" si="1"/>
        <v>-0.34999999999999992</v>
      </c>
      <c r="K43" s="1">
        <f t="shared" si="2"/>
        <v>-3.8499999999999994E-5</v>
      </c>
      <c r="L43" s="1"/>
      <c r="M43" s="1"/>
      <c r="N43" s="1"/>
    </row>
    <row r="44" spans="1:19" x14ac:dyDescent="0.45">
      <c r="A44" s="1">
        <v>-1</v>
      </c>
      <c r="B44" s="1">
        <v>-1</v>
      </c>
      <c r="C44" s="1">
        <v>-1</v>
      </c>
      <c r="D44" s="1">
        <v>1.8</v>
      </c>
      <c r="E44" s="1">
        <v>-0.47</v>
      </c>
      <c r="F44" s="1">
        <v>-0.5</v>
      </c>
      <c r="G44" s="1">
        <v>-0.44</v>
      </c>
      <c r="H44" s="1"/>
      <c r="I44" s="1">
        <f t="shared" si="0"/>
        <v>-1</v>
      </c>
      <c r="J44" s="1">
        <f t="shared" si="1"/>
        <v>-0.47</v>
      </c>
      <c r="K44" s="1">
        <f t="shared" si="2"/>
        <v>-5.1699999999999996E-5</v>
      </c>
      <c r="L44" s="1"/>
      <c r="M44" s="1"/>
      <c r="N44" s="1"/>
    </row>
    <row r="45" spans="1:19" x14ac:dyDescent="0.45">
      <c r="A45" s="1">
        <v>-1.2</v>
      </c>
      <c r="B45" s="1">
        <v>-1.2</v>
      </c>
      <c r="C45" s="1">
        <v>-1.2</v>
      </c>
      <c r="D45" s="1">
        <v>1.8</v>
      </c>
      <c r="E45" s="1">
        <v>-0.5</v>
      </c>
      <c r="F45" s="1">
        <v>-0.5</v>
      </c>
      <c r="G45" s="1">
        <v>-0.5</v>
      </c>
      <c r="H45" s="1"/>
      <c r="I45" s="1">
        <f t="shared" si="0"/>
        <v>-1.2</v>
      </c>
      <c r="J45" s="1">
        <f t="shared" si="1"/>
        <v>-0.5</v>
      </c>
      <c r="K45" s="1">
        <f t="shared" si="2"/>
        <v>-5.5000000000000002E-5</v>
      </c>
      <c r="L45" s="1"/>
      <c r="M45" s="1"/>
      <c r="N45" s="1"/>
    </row>
    <row r="46" spans="1:19" x14ac:dyDescent="0.45">
      <c r="A46" s="1">
        <v>-1.4</v>
      </c>
      <c r="B46" s="1">
        <v>-1.4</v>
      </c>
      <c r="C46" s="1">
        <v>-1.4</v>
      </c>
      <c r="D46" s="1">
        <v>1.8</v>
      </c>
      <c r="E46" s="1">
        <v>-0.6</v>
      </c>
      <c r="F46" s="1">
        <v>-0.6</v>
      </c>
      <c r="G46" s="1">
        <v>-0.65</v>
      </c>
      <c r="H46" s="1"/>
      <c r="I46" s="1">
        <f t="shared" si="0"/>
        <v>-1.3999999999999997</v>
      </c>
      <c r="J46" s="1">
        <f t="shared" si="1"/>
        <v>-0.6166666666666667</v>
      </c>
      <c r="K46" s="1">
        <f t="shared" si="2"/>
        <v>-6.7833333333333347E-5</v>
      </c>
      <c r="L46" s="1"/>
      <c r="M46" s="1"/>
      <c r="N46" s="1"/>
    </row>
    <row r="47" spans="1:19" x14ac:dyDescent="0.45">
      <c r="A47" s="1">
        <v>-1.6</v>
      </c>
      <c r="B47" s="1">
        <v>-1.6</v>
      </c>
      <c r="C47" s="1">
        <v>-1.6</v>
      </c>
      <c r="D47" s="1">
        <v>1.8</v>
      </c>
      <c r="E47" s="1">
        <v>-0.7</v>
      </c>
      <c r="F47" s="1">
        <v>-0.7</v>
      </c>
      <c r="G47" s="1">
        <v>-0.7</v>
      </c>
      <c r="H47" s="1"/>
      <c r="I47" s="1">
        <f t="shared" si="0"/>
        <v>-1.6000000000000003</v>
      </c>
      <c r="J47" s="1">
        <f t="shared" si="1"/>
        <v>-0.69999999999999984</v>
      </c>
      <c r="K47" s="1">
        <f t="shared" si="2"/>
        <v>-7.6999999999999988E-5</v>
      </c>
      <c r="L47" s="1"/>
      <c r="M47" s="1"/>
      <c r="N47" s="1"/>
    </row>
    <row r="48" spans="1:19" x14ac:dyDescent="0.45">
      <c r="A48" s="1">
        <v>-1.8</v>
      </c>
      <c r="B48" s="1">
        <v>-1.79</v>
      </c>
      <c r="C48" s="1">
        <v>-1.8</v>
      </c>
      <c r="D48" s="1">
        <v>1.8</v>
      </c>
      <c r="E48" s="1">
        <v>-0.75</v>
      </c>
      <c r="F48" s="1">
        <v>-0.7</v>
      </c>
      <c r="G48" s="1">
        <v>-0.8</v>
      </c>
      <c r="H48" s="1"/>
      <c r="I48" s="1">
        <f t="shared" si="0"/>
        <v>-1.7966666666666666</v>
      </c>
      <c r="J48" s="1">
        <f t="shared" si="1"/>
        <v>-0.75</v>
      </c>
      <c r="K48" s="1">
        <f t="shared" si="2"/>
        <v>-8.25E-5</v>
      </c>
      <c r="L48" s="1"/>
      <c r="M48" s="1"/>
      <c r="N48" s="1"/>
    </row>
    <row r="49" spans="1:14" x14ac:dyDescent="0.45">
      <c r="A49" s="1">
        <v>-2</v>
      </c>
      <c r="B49" s="1">
        <v>-2</v>
      </c>
      <c r="C49" s="1">
        <v>-2</v>
      </c>
      <c r="D49" s="1">
        <v>1.8</v>
      </c>
      <c r="E49" s="1">
        <v>-0.85</v>
      </c>
      <c r="F49" s="1">
        <v>-0.85</v>
      </c>
      <c r="G49" s="1">
        <v>-0.85</v>
      </c>
      <c r="H49" s="1"/>
      <c r="I49" s="1">
        <f t="shared" si="0"/>
        <v>-2</v>
      </c>
      <c r="J49" s="1">
        <f t="shared" si="1"/>
        <v>-0.85</v>
      </c>
      <c r="K49" s="1">
        <f t="shared" si="2"/>
        <v>-9.3499999999999996E-5</v>
      </c>
      <c r="L49" s="1"/>
      <c r="M49" s="1"/>
      <c r="N49" s="1"/>
    </row>
    <row r="50" spans="1:14" x14ac:dyDescent="0.45">
      <c r="A50" s="1">
        <v>-2.21</v>
      </c>
      <c r="B50" s="1">
        <v>-2.21</v>
      </c>
      <c r="C50" s="1">
        <v>-2.21</v>
      </c>
      <c r="D50" s="1">
        <v>1.8</v>
      </c>
      <c r="E50" s="1">
        <v>-0.95</v>
      </c>
      <c r="F50" s="1">
        <v>-0.9</v>
      </c>
      <c r="G50" s="1">
        <v>-1.1000000000000001</v>
      </c>
      <c r="H50" s="1"/>
      <c r="I50" s="1">
        <f t="shared" si="0"/>
        <v>-2.21</v>
      </c>
      <c r="J50" s="1">
        <f t="shared" si="1"/>
        <v>-0.98333333333333339</v>
      </c>
      <c r="K50" s="1">
        <f t="shared" si="2"/>
        <v>-1.0816666666666668E-4</v>
      </c>
      <c r="L50" s="1"/>
      <c r="M50" s="1"/>
      <c r="N50" s="1"/>
    </row>
    <row r="51" spans="1:14" x14ac:dyDescent="0.45">
      <c r="A51" s="1">
        <v>-2.4</v>
      </c>
      <c r="B51" s="1">
        <v>-2.4</v>
      </c>
      <c r="C51" s="1">
        <v>-2.4</v>
      </c>
      <c r="D51" s="1">
        <v>1.8</v>
      </c>
      <c r="E51" s="1">
        <v>-1</v>
      </c>
      <c r="F51" s="1">
        <v>-1</v>
      </c>
      <c r="G51" s="1">
        <v>-1</v>
      </c>
      <c r="H51" s="1"/>
      <c r="I51" s="1">
        <f t="shared" si="0"/>
        <v>-2.4</v>
      </c>
      <c r="J51" s="1">
        <f t="shared" si="1"/>
        <v>-1</v>
      </c>
      <c r="K51" s="1">
        <f t="shared" si="2"/>
        <v>-1.1E-4</v>
      </c>
      <c r="L51" s="1"/>
      <c r="M51" s="1"/>
      <c r="N51" s="1"/>
    </row>
    <row r="52" spans="1:14" x14ac:dyDescent="0.45">
      <c r="A52" s="1">
        <v>-2.6</v>
      </c>
      <c r="B52" s="1">
        <v>-2.6</v>
      </c>
      <c r="C52" s="1">
        <v>-2.6</v>
      </c>
      <c r="D52" s="1">
        <v>1.8</v>
      </c>
      <c r="E52" s="1">
        <v>-1.1000000000000001</v>
      </c>
      <c r="F52" s="1">
        <v>-1.1000000000000001</v>
      </c>
      <c r="G52" s="1">
        <v>-1.2</v>
      </c>
      <c r="H52" s="1"/>
      <c r="I52" s="1">
        <f t="shared" si="0"/>
        <v>-2.6</v>
      </c>
      <c r="J52" s="1">
        <f t="shared" si="1"/>
        <v>-1.1333333333333335</v>
      </c>
      <c r="K52" s="1">
        <f t="shared" si="2"/>
        <v>-1.246666666666667E-4</v>
      </c>
      <c r="L52" s="1"/>
      <c r="M52" s="1"/>
      <c r="N52" s="1"/>
    </row>
    <row r="53" spans="1:14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45">
      <c r="A54" s="1"/>
      <c r="B54" s="1"/>
      <c r="C54" s="1"/>
      <c r="D54" s="1"/>
      <c r="E54" s="1"/>
      <c r="F54" s="1"/>
      <c r="G54" s="1"/>
      <c r="H54" s="1" t="s">
        <v>12</v>
      </c>
      <c r="I54" s="1"/>
      <c r="J54" s="1"/>
      <c r="K54" s="1"/>
      <c r="L54" s="1"/>
      <c r="M54" s="1"/>
      <c r="N54" s="1"/>
    </row>
    <row r="55" spans="1:14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45">
      <c r="A57" s="1" t="s">
        <v>13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45">
      <c r="A58" s="1"/>
      <c r="B58" s="1" t="s">
        <v>14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45">
      <c r="A59" s="1" t="s">
        <v>15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45">
      <c r="A60" s="1" t="s">
        <v>16</v>
      </c>
      <c r="B60" s="1" t="s">
        <v>72</v>
      </c>
      <c r="C60" s="1" t="s">
        <v>17</v>
      </c>
      <c r="D60" s="1"/>
      <c r="E60" s="1"/>
      <c r="F60" s="1" t="s">
        <v>18</v>
      </c>
      <c r="G60" s="1"/>
      <c r="H60" s="1"/>
      <c r="I60" s="1" t="s">
        <v>19</v>
      </c>
      <c r="J60" s="1"/>
      <c r="K60" s="1"/>
      <c r="L60" s="1"/>
      <c r="M60" s="1" t="s">
        <v>74</v>
      </c>
      <c r="N60" s="1"/>
    </row>
    <row r="61" spans="1:14" x14ac:dyDescent="0.45">
      <c r="A61" s="1"/>
      <c r="B61" s="1" t="s">
        <v>73</v>
      </c>
      <c r="C61" s="1" t="s">
        <v>20</v>
      </c>
      <c r="D61" s="1" t="s">
        <v>21</v>
      </c>
      <c r="E61" s="1" t="s">
        <v>22</v>
      </c>
      <c r="F61" s="1" t="s">
        <v>20</v>
      </c>
      <c r="G61" s="1" t="s">
        <v>21</v>
      </c>
      <c r="H61" s="1" t="s">
        <v>22</v>
      </c>
      <c r="I61" s="1" t="s">
        <v>20</v>
      </c>
      <c r="J61" s="1" t="s">
        <v>21</v>
      </c>
      <c r="K61" s="1" t="s">
        <v>22</v>
      </c>
      <c r="L61" s="1"/>
      <c r="M61" s="1"/>
      <c r="N61" s="1"/>
    </row>
    <row r="62" spans="1:14" x14ac:dyDescent="0.45">
      <c r="A62" s="1">
        <v>90</v>
      </c>
      <c r="B62" s="1">
        <f>(0.11*(AVERAGE(C62:E62)))/1000</f>
        <v>1.7159999999999997E-4</v>
      </c>
      <c r="C62" s="1">
        <v>1.6</v>
      </c>
      <c r="D62" s="1">
        <v>1.58</v>
      </c>
      <c r="E62" s="1">
        <v>1.5</v>
      </c>
      <c r="F62" s="1">
        <v>2.6</v>
      </c>
      <c r="G62" s="1">
        <v>2.6</v>
      </c>
      <c r="H62" s="1">
        <v>2.6</v>
      </c>
      <c r="I62" s="1">
        <v>2.5099999999999998</v>
      </c>
      <c r="J62" s="1">
        <v>2.5</v>
      </c>
      <c r="K62" s="1">
        <v>2.4900000000000002</v>
      </c>
      <c r="L62" s="1"/>
      <c r="M62" s="1">
        <f>SIN(RADIANS(A62))</f>
        <v>1</v>
      </c>
      <c r="N62" s="1">
        <v>1.7159999999999997E-4</v>
      </c>
    </row>
    <row r="63" spans="1:14" x14ac:dyDescent="0.45">
      <c r="A63" s="1">
        <v>75</v>
      </c>
      <c r="B63" s="1">
        <f t="shared" ref="B63:B74" si="3">(0.11*(AVERAGE(C63:E63)))/1000</f>
        <v>1.5473333333333332E-4</v>
      </c>
      <c r="C63" s="1">
        <v>1.5</v>
      </c>
      <c r="D63" s="1">
        <v>1.4</v>
      </c>
      <c r="E63" s="1">
        <v>1.32</v>
      </c>
      <c r="F63" s="1">
        <v>2.6</v>
      </c>
      <c r="G63" s="1">
        <v>2.6</v>
      </c>
      <c r="H63" s="1">
        <v>2.6</v>
      </c>
      <c r="I63" s="1">
        <v>2.5099999999999998</v>
      </c>
      <c r="J63" s="1">
        <v>2.5</v>
      </c>
      <c r="K63" s="1">
        <v>2.4900000000000002</v>
      </c>
      <c r="L63" s="1"/>
      <c r="M63" s="1">
        <f t="shared" ref="M63:M74" si="4">SIN(RADIANS(A63))</f>
        <v>0.96592582628906831</v>
      </c>
      <c r="N63" s="1">
        <v>1.5473333333333332E-4</v>
      </c>
    </row>
    <row r="64" spans="1:14" x14ac:dyDescent="0.45">
      <c r="A64" s="1">
        <v>60</v>
      </c>
      <c r="B64" s="1">
        <f t="shared" si="3"/>
        <v>1.3016666666666667E-4</v>
      </c>
      <c r="C64" s="1">
        <v>1.3</v>
      </c>
      <c r="D64" s="1">
        <v>1.1499999999999999</v>
      </c>
      <c r="E64" s="1">
        <v>1.1000000000000001</v>
      </c>
      <c r="F64" s="1">
        <v>2.6</v>
      </c>
      <c r="G64" s="1">
        <v>2.6</v>
      </c>
      <c r="H64" s="1">
        <v>2.6</v>
      </c>
      <c r="I64" s="1">
        <v>2.5099999999999998</v>
      </c>
      <c r="J64" s="1">
        <v>2.5</v>
      </c>
      <c r="K64" s="1">
        <v>2.4900000000000002</v>
      </c>
      <c r="L64" s="1"/>
      <c r="M64" s="1">
        <f t="shared" si="4"/>
        <v>0.8660254037844386</v>
      </c>
      <c r="N64" s="1">
        <v>1.3016666666666667E-4</v>
      </c>
    </row>
    <row r="65" spans="1:22" x14ac:dyDescent="0.45">
      <c r="A65" s="1">
        <v>45</v>
      </c>
      <c r="B65" s="1">
        <f t="shared" si="3"/>
        <v>1.0083333333333334E-4</v>
      </c>
      <c r="C65" s="1">
        <v>1</v>
      </c>
      <c r="D65" s="1">
        <v>0.9</v>
      </c>
      <c r="E65" s="1">
        <v>0.85</v>
      </c>
      <c r="F65" s="1">
        <v>2.6</v>
      </c>
      <c r="G65" s="1">
        <v>2.6</v>
      </c>
      <c r="H65" s="1">
        <v>2.6</v>
      </c>
      <c r="I65" s="1">
        <v>2.5099999999999998</v>
      </c>
      <c r="J65" s="1">
        <v>2.5</v>
      </c>
      <c r="K65" s="1">
        <v>2.4900000000000002</v>
      </c>
      <c r="L65" s="1"/>
      <c r="M65" s="1">
        <f t="shared" si="4"/>
        <v>0.70710678118654746</v>
      </c>
      <c r="N65" s="1">
        <v>1.0083333333333334E-4</v>
      </c>
    </row>
    <row r="66" spans="1:22" x14ac:dyDescent="0.45">
      <c r="A66" s="1">
        <v>30</v>
      </c>
      <c r="B66" s="1">
        <f t="shared" si="3"/>
        <v>6.0866666666666664E-5</v>
      </c>
      <c r="C66" s="1">
        <v>0.6</v>
      </c>
      <c r="D66" s="1">
        <v>0.56000000000000005</v>
      </c>
      <c r="E66" s="1">
        <v>0.5</v>
      </c>
      <c r="F66" s="1">
        <v>2.6</v>
      </c>
      <c r="G66" s="1">
        <v>2.6</v>
      </c>
      <c r="H66" s="1">
        <v>2.6</v>
      </c>
      <c r="I66" s="1">
        <v>2.5099999999999998</v>
      </c>
      <c r="J66" s="1">
        <v>2.5</v>
      </c>
      <c r="K66" s="1">
        <v>2.4900000000000002</v>
      </c>
      <c r="L66" s="1"/>
      <c r="M66" s="1">
        <f t="shared" si="4"/>
        <v>0.49999999999999994</v>
      </c>
      <c r="N66" s="1">
        <v>6.0866666666666664E-5</v>
      </c>
      <c r="T66" t="s">
        <v>86</v>
      </c>
      <c r="U66" cm="1">
        <f t="array" ref="U66:V66">LINEST(N62:N74,M62:M74)</f>
        <v>1.5167966104760833E-4</v>
      </c>
      <c r="V66">
        <v>2.1717948717948674E-6</v>
      </c>
    </row>
    <row r="67" spans="1:22" x14ac:dyDescent="0.45">
      <c r="A67" s="1">
        <v>15</v>
      </c>
      <c r="B67" s="1">
        <f t="shared" si="3"/>
        <v>2.2000000000000006E-5</v>
      </c>
      <c r="C67" s="1">
        <v>0.2</v>
      </c>
      <c r="D67" s="1">
        <v>0.2</v>
      </c>
      <c r="E67" s="1">
        <v>0.2</v>
      </c>
      <c r="F67" s="1">
        <v>2.6</v>
      </c>
      <c r="G67" s="1">
        <v>2.6</v>
      </c>
      <c r="H67" s="1">
        <v>2.6</v>
      </c>
      <c r="I67" s="1">
        <v>2.5099999999999998</v>
      </c>
      <c r="J67" s="1">
        <v>2.5</v>
      </c>
      <c r="K67" s="1">
        <v>2.4900000000000002</v>
      </c>
      <c r="L67" s="1"/>
      <c r="M67" s="1">
        <f t="shared" si="4"/>
        <v>0.25881904510252074</v>
      </c>
      <c r="N67" s="1">
        <v>2.2000000000000006E-5</v>
      </c>
    </row>
    <row r="68" spans="1:22" x14ac:dyDescent="0.45">
      <c r="A68" s="1">
        <v>0</v>
      </c>
      <c r="B68" s="1">
        <f t="shared" si="3"/>
        <v>3.6666666666666666E-6</v>
      </c>
      <c r="C68" s="1">
        <v>0.05</v>
      </c>
      <c r="D68" s="1">
        <v>0</v>
      </c>
      <c r="E68" s="1">
        <v>0.05</v>
      </c>
      <c r="F68" s="1">
        <v>2.6</v>
      </c>
      <c r="G68" s="1">
        <v>2.6</v>
      </c>
      <c r="H68" s="1">
        <v>2.6</v>
      </c>
      <c r="I68" s="1">
        <v>2.5099999999999998</v>
      </c>
      <c r="J68" s="1">
        <v>2.5</v>
      </c>
      <c r="K68" s="1">
        <v>2.4900000000000002</v>
      </c>
      <c r="L68" s="1"/>
      <c r="M68" s="1">
        <f t="shared" si="4"/>
        <v>0</v>
      </c>
      <c r="N68" s="1">
        <v>3.6666666666666666E-6</v>
      </c>
    </row>
    <row r="69" spans="1:22" x14ac:dyDescent="0.45">
      <c r="A69" s="1">
        <v>-15</v>
      </c>
      <c r="B69" s="1">
        <f t="shared" si="3"/>
        <v>-2.2000000000000006E-5</v>
      </c>
      <c r="C69" s="1">
        <v>-0.2</v>
      </c>
      <c r="D69" s="1">
        <v>-0.2</v>
      </c>
      <c r="E69" s="1">
        <v>-0.2</v>
      </c>
      <c r="F69" s="1">
        <v>2.58</v>
      </c>
      <c r="G69" s="1">
        <v>2.58</v>
      </c>
      <c r="H69" s="1">
        <v>2.6</v>
      </c>
      <c r="I69" s="1">
        <v>2.5099999999999998</v>
      </c>
      <c r="J69" s="1">
        <v>2.5</v>
      </c>
      <c r="K69" s="1">
        <v>2.4900000000000002</v>
      </c>
      <c r="L69" s="1"/>
      <c r="M69" s="1">
        <f t="shared" si="4"/>
        <v>-0.25881904510252074</v>
      </c>
      <c r="N69" s="1">
        <v>-2.2000000000000006E-5</v>
      </c>
    </row>
    <row r="70" spans="1:22" x14ac:dyDescent="0.45">
      <c r="A70" s="1">
        <v>-30</v>
      </c>
      <c r="B70" s="1">
        <f t="shared" si="3"/>
        <v>-5.6833333333333337E-5</v>
      </c>
      <c r="C70" s="1">
        <v>-0.5</v>
      </c>
      <c r="D70" s="1">
        <v>-0.55000000000000004</v>
      </c>
      <c r="E70" s="1">
        <v>-0.5</v>
      </c>
      <c r="F70" s="1">
        <v>2.58</v>
      </c>
      <c r="G70" s="1">
        <v>2.58</v>
      </c>
      <c r="H70" s="1">
        <v>2.6</v>
      </c>
      <c r="I70" s="1">
        <v>2.5099999999999998</v>
      </c>
      <c r="J70" s="1">
        <v>2.5</v>
      </c>
      <c r="K70" s="1">
        <v>2.4900000000000002</v>
      </c>
      <c r="L70" s="1"/>
      <c r="M70" s="1">
        <f t="shared" si="4"/>
        <v>-0.49999999999999994</v>
      </c>
      <c r="N70" s="1">
        <v>-5.6833333333333337E-5</v>
      </c>
    </row>
    <row r="71" spans="1:22" x14ac:dyDescent="0.45">
      <c r="A71" s="1">
        <v>-45</v>
      </c>
      <c r="B71" s="1">
        <f t="shared" si="3"/>
        <v>-9.8266666666666679E-5</v>
      </c>
      <c r="C71" s="1">
        <v>-0.9</v>
      </c>
      <c r="D71" s="1">
        <v>-0.88</v>
      </c>
      <c r="E71" s="1">
        <v>-0.9</v>
      </c>
      <c r="F71" s="1">
        <v>2.58</v>
      </c>
      <c r="G71" s="1">
        <v>2.58</v>
      </c>
      <c r="H71" s="1">
        <v>2.6</v>
      </c>
      <c r="I71" s="1">
        <v>2.5099999999999998</v>
      </c>
      <c r="J71" s="1">
        <v>2.5</v>
      </c>
      <c r="K71" s="1">
        <v>2.4900000000000002</v>
      </c>
      <c r="L71" s="1"/>
      <c r="M71" s="1">
        <f t="shared" si="4"/>
        <v>-0.70710678118654746</v>
      </c>
      <c r="N71" s="1">
        <v>-9.8266666666666679E-5</v>
      </c>
    </row>
    <row r="72" spans="1:22" x14ac:dyDescent="0.45">
      <c r="A72" s="1">
        <v>-60</v>
      </c>
      <c r="B72" s="1">
        <f t="shared" si="3"/>
        <v>-1.2466666666666667E-4</v>
      </c>
      <c r="C72" s="1">
        <v>-1.1499999999999999</v>
      </c>
      <c r="D72" s="1">
        <v>-1.1499999999999999</v>
      </c>
      <c r="E72" s="1">
        <v>-1.1000000000000001</v>
      </c>
      <c r="F72" s="1">
        <v>2.57</v>
      </c>
      <c r="G72" s="1">
        <v>2.57</v>
      </c>
      <c r="H72" s="1">
        <v>2.6</v>
      </c>
      <c r="I72" s="1">
        <v>2.5099999999999998</v>
      </c>
      <c r="J72" s="1">
        <v>2.5</v>
      </c>
      <c r="K72" s="1">
        <v>2.4900000000000002</v>
      </c>
      <c r="L72" s="1"/>
      <c r="M72" s="1">
        <f t="shared" si="4"/>
        <v>-0.8660254037844386</v>
      </c>
      <c r="N72" s="1">
        <v>-1.2466666666666667E-4</v>
      </c>
    </row>
    <row r="73" spans="1:22" x14ac:dyDescent="0.45">
      <c r="A73" s="1">
        <v>-75</v>
      </c>
      <c r="B73" s="1">
        <f t="shared" si="3"/>
        <v>-1.4336666666666666E-4</v>
      </c>
      <c r="C73" s="1">
        <v>-1.35</v>
      </c>
      <c r="D73" s="1">
        <v>-1.3</v>
      </c>
      <c r="E73" s="1">
        <v>-1.26</v>
      </c>
      <c r="F73" s="1">
        <v>2.57</v>
      </c>
      <c r="G73" s="1">
        <v>2.57</v>
      </c>
      <c r="H73" s="1">
        <v>2.6</v>
      </c>
      <c r="I73" s="1">
        <v>2.5099999999999998</v>
      </c>
      <c r="J73" s="1">
        <v>2.5</v>
      </c>
      <c r="K73" s="1">
        <v>2.4900000000000002</v>
      </c>
      <c r="L73" s="1"/>
      <c r="M73" s="1">
        <f t="shared" si="4"/>
        <v>-0.96592582628906831</v>
      </c>
      <c r="N73" s="1">
        <v>-1.4336666666666666E-4</v>
      </c>
    </row>
    <row r="74" spans="1:22" x14ac:dyDescent="0.45">
      <c r="A74" s="1">
        <v>-90</v>
      </c>
      <c r="B74" s="1">
        <f t="shared" si="3"/>
        <v>-1.7050000000000002E-4</v>
      </c>
      <c r="C74" s="1">
        <v>-1.7</v>
      </c>
      <c r="D74" s="1">
        <v>-1.5</v>
      </c>
      <c r="E74" s="1">
        <v>-1.45</v>
      </c>
      <c r="F74" s="1">
        <v>2.57</v>
      </c>
      <c r="G74" s="1">
        <v>2.57</v>
      </c>
      <c r="H74" s="1">
        <v>2.6</v>
      </c>
      <c r="I74" s="1">
        <v>2.5099999999999998</v>
      </c>
      <c r="J74" s="1">
        <v>2.5</v>
      </c>
      <c r="K74" s="1">
        <v>2.4900000000000002</v>
      </c>
      <c r="L74" s="1"/>
      <c r="M74" s="1">
        <f t="shared" si="4"/>
        <v>-1</v>
      </c>
      <c r="N74" s="1">
        <v>-1.7050000000000002E-4</v>
      </c>
    </row>
    <row r="75" spans="1:22" x14ac:dyDescent="0.45">
      <c r="A75" s="1"/>
      <c r="B75" s="1"/>
      <c r="C75" s="1"/>
      <c r="D75" s="1"/>
      <c r="E75" s="1"/>
      <c r="F75" s="1" t="s">
        <v>23</v>
      </c>
      <c r="G75" s="1" t="s">
        <v>23</v>
      </c>
      <c r="H75" s="1"/>
      <c r="I75" s="1"/>
      <c r="J75" s="1"/>
      <c r="K75" s="1"/>
      <c r="L75" s="1"/>
      <c r="M75" s="1"/>
      <c r="N75" s="1"/>
    </row>
    <row r="76" spans="1:22" x14ac:dyDescent="0.45">
      <c r="A76" s="1"/>
      <c r="B76" s="1" t="s">
        <v>24</v>
      </c>
      <c r="C76" s="1"/>
      <c r="D76" s="1"/>
      <c r="E76" s="1"/>
      <c r="F76" s="1"/>
      <c r="G76" s="1"/>
      <c r="H76" s="1"/>
      <c r="I76" s="1"/>
      <c r="J76" s="1" t="s">
        <v>25</v>
      </c>
      <c r="K76" s="1"/>
      <c r="L76" s="1"/>
      <c r="M76" s="1"/>
      <c r="N76" s="1"/>
    </row>
    <row r="77" spans="1:22" x14ac:dyDescent="0.45">
      <c r="A77" s="1"/>
      <c r="B77" s="1"/>
      <c r="C77" s="1"/>
      <c r="D77" s="1"/>
      <c r="E77" s="1"/>
      <c r="F77" s="1"/>
      <c r="H77" s="1"/>
      <c r="I77" s="1"/>
      <c r="J77" s="1"/>
      <c r="K77" s="1"/>
      <c r="L77" s="1"/>
      <c r="M77" s="1"/>
      <c r="N77" s="1"/>
    </row>
    <row r="78" spans="1:22" x14ac:dyDescent="0.45">
      <c r="A78" s="1"/>
      <c r="B78" s="1"/>
      <c r="C78" s="1"/>
      <c r="D78" s="1"/>
      <c r="E78" s="1"/>
      <c r="F78" s="1"/>
      <c r="G78" s="1" cm="1">
        <f t="array" ref="G78">AVERAGE(ABS(C62:C74))</f>
        <v>0.92692307692307685</v>
      </c>
      <c r="H78" s="1"/>
      <c r="I78" s="1"/>
      <c r="J78" s="1"/>
      <c r="K78" s="1"/>
      <c r="L78" s="1"/>
      <c r="M78" s="1"/>
      <c r="N78" s="1"/>
    </row>
    <row r="79" spans="1:22" x14ac:dyDescent="0.45">
      <c r="A79" s="1"/>
      <c r="B79" s="1"/>
      <c r="C79" s="1"/>
      <c r="D79" s="1"/>
      <c r="E79" s="1"/>
      <c r="F79" s="1"/>
      <c r="G79" s="1" cm="1">
        <f t="array" ref="G79">AVERAGE(ABS(A62:A74))</f>
        <v>48.46153846153846</v>
      </c>
      <c r="H79" s="1"/>
      <c r="I79" s="1"/>
      <c r="J79" s="1"/>
      <c r="K79" s="1"/>
      <c r="L79" s="1"/>
      <c r="M79" s="1"/>
      <c r="N79" s="1"/>
    </row>
    <row r="80" spans="1:22" x14ac:dyDescent="0.45">
      <c r="A80" s="1" t="s">
        <v>26</v>
      </c>
      <c r="B80" s="1"/>
      <c r="C80" s="1" t="s">
        <v>27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25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25" x14ac:dyDescent="0.45">
      <c r="A82" s="1" t="s">
        <v>28</v>
      </c>
      <c r="B82" s="1"/>
      <c r="C82" s="1" t="s">
        <v>20</v>
      </c>
      <c r="D82" s="1" t="s">
        <v>21</v>
      </c>
      <c r="E82" s="1" t="s">
        <v>22</v>
      </c>
      <c r="F82" s="1" t="s">
        <v>29</v>
      </c>
      <c r="G82" s="1" t="s">
        <v>30</v>
      </c>
      <c r="H82" s="1" t="s">
        <v>31</v>
      </c>
      <c r="I82" s="1" t="s">
        <v>18</v>
      </c>
      <c r="J82" s="1"/>
      <c r="K82" s="1"/>
      <c r="L82" s="1" t="s">
        <v>19</v>
      </c>
      <c r="M82" s="1"/>
      <c r="N82" s="1"/>
      <c r="P82" t="s">
        <v>76</v>
      </c>
      <c r="Q82" t="s">
        <v>71</v>
      </c>
      <c r="R82" t="s">
        <v>78</v>
      </c>
      <c r="S82" t="s">
        <v>77</v>
      </c>
    </row>
    <row r="83" spans="1:25" x14ac:dyDescent="0.45">
      <c r="A83" s="1"/>
      <c r="B83" s="1"/>
      <c r="C83" s="1"/>
      <c r="D83" s="1"/>
      <c r="E83" s="1"/>
      <c r="F83" s="1"/>
      <c r="G83" s="1"/>
      <c r="H83" s="1"/>
      <c r="I83" s="1" t="s">
        <v>20</v>
      </c>
      <c r="J83" s="1" t="s">
        <v>21</v>
      </c>
      <c r="K83" s="1" t="s">
        <v>22</v>
      </c>
      <c r="L83" s="1" t="s">
        <v>20</v>
      </c>
      <c r="M83" s="1" t="s">
        <v>21</v>
      </c>
      <c r="N83" s="1" t="s">
        <v>22</v>
      </c>
    </row>
    <row r="84" spans="1:25" x14ac:dyDescent="0.45">
      <c r="A84" s="1">
        <v>12.2</v>
      </c>
      <c r="B84" s="1"/>
      <c r="C84" s="1">
        <v>0.92</v>
      </c>
      <c r="D84" s="1">
        <v>0.8</v>
      </c>
      <c r="E84" s="1">
        <v>0.8</v>
      </c>
      <c r="F84" s="1">
        <v>0.78</v>
      </c>
      <c r="G84" s="1">
        <v>0.78</v>
      </c>
      <c r="H84" s="1">
        <v>0.78</v>
      </c>
      <c r="I84" s="1">
        <v>2.6</v>
      </c>
      <c r="J84" s="1">
        <v>2.6</v>
      </c>
      <c r="K84" s="1">
        <v>2.6</v>
      </c>
      <c r="L84" s="1">
        <v>4</v>
      </c>
      <c r="M84" s="1">
        <v>4</v>
      </c>
      <c r="N84" s="1">
        <v>4.01</v>
      </c>
      <c r="P84">
        <f>AVERAGE(F84:H84)</f>
        <v>0.77999999999999992</v>
      </c>
      <c r="Q84">
        <f>P84*0.11/1000</f>
        <v>8.5799999999999985E-5</v>
      </c>
      <c r="R84">
        <f>12.01/100</f>
        <v>0.1201</v>
      </c>
      <c r="S84">
        <f>R84^2</f>
        <v>1.4424009999999999E-2</v>
      </c>
      <c r="T84">
        <v>8.5799999999999985E-5</v>
      </c>
    </row>
    <row r="85" spans="1:25" x14ac:dyDescent="0.45">
      <c r="A85" s="1">
        <v>8.6999999999999993</v>
      </c>
      <c r="B85" s="1"/>
      <c r="C85" s="1">
        <v>0.6</v>
      </c>
      <c r="D85" s="1">
        <v>0.4</v>
      </c>
      <c r="E85" s="1">
        <v>0.5</v>
      </c>
      <c r="F85" s="1">
        <v>0.4</v>
      </c>
      <c r="G85" s="1">
        <v>0.4</v>
      </c>
      <c r="H85" s="1">
        <v>0.45</v>
      </c>
      <c r="I85" s="1">
        <v>2.6</v>
      </c>
      <c r="J85" s="1">
        <v>2.6</v>
      </c>
      <c r="K85" s="1">
        <v>2.6</v>
      </c>
      <c r="L85" s="1">
        <v>4</v>
      </c>
      <c r="M85" s="1">
        <v>4</v>
      </c>
      <c r="N85" s="1">
        <v>4.01</v>
      </c>
      <c r="P85">
        <f t="shared" ref="P85:P86" si="5">AVERAGE(F85:H85)</f>
        <v>0.41666666666666669</v>
      </c>
      <c r="Q85">
        <f t="shared" ref="Q85:Q86" si="6">P85*0.11/1000</f>
        <v>4.5833333333333334E-5</v>
      </c>
      <c r="R85">
        <f>8.56/100</f>
        <v>8.5600000000000009E-2</v>
      </c>
      <c r="S85">
        <f t="shared" ref="S85:S86" si="7">R85^2</f>
        <v>7.3273600000000015E-3</v>
      </c>
      <c r="T85">
        <v>4.5833333333333334E-5</v>
      </c>
    </row>
    <row r="86" spans="1:25" x14ac:dyDescent="0.45">
      <c r="A86" s="1">
        <v>6.1</v>
      </c>
      <c r="B86" s="1"/>
      <c r="C86" s="1">
        <v>0.2</v>
      </c>
      <c r="D86" s="1">
        <v>0.2</v>
      </c>
      <c r="E86" s="1">
        <v>0.2</v>
      </c>
      <c r="F86" s="1">
        <v>0.2</v>
      </c>
      <c r="G86" s="1">
        <v>0.2</v>
      </c>
      <c r="H86" s="1">
        <v>0.2</v>
      </c>
      <c r="I86" s="1">
        <v>2.6</v>
      </c>
      <c r="J86" s="1">
        <v>2.6</v>
      </c>
      <c r="K86" s="1">
        <v>2.6</v>
      </c>
      <c r="L86" s="1">
        <v>4</v>
      </c>
      <c r="M86" s="1">
        <v>4</v>
      </c>
      <c r="N86" s="1">
        <v>4.01</v>
      </c>
      <c r="P86">
        <f t="shared" si="5"/>
        <v>0.20000000000000004</v>
      </c>
      <c r="Q86">
        <f t="shared" si="6"/>
        <v>2.2000000000000006E-5</v>
      </c>
      <c r="R86">
        <f>6.01/100</f>
        <v>6.0100000000000001E-2</v>
      </c>
      <c r="S86">
        <f t="shared" si="7"/>
        <v>3.6120100000000001E-3</v>
      </c>
      <c r="T86">
        <v>2.2000000000000006E-5</v>
      </c>
    </row>
    <row r="87" spans="1:25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25" x14ac:dyDescent="0.45">
      <c r="A88" s="1" t="s">
        <v>32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P88" cm="1">
        <f t="array" ref="P88">AVERAGE(ABS(H84:H86))</f>
        <v>0.47666666666666663</v>
      </c>
    </row>
    <row r="89" spans="1:25" x14ac:dyDescent="0.45">
      <c r="A89" s="1"/>
      <c r="B89" s="1" t="s">
        <v>33</v>
      </c>
      <c r="C89" s="1"/>
      <c r="D89" s="1"/>
      <c r="E89" s="1" t="s">
        <v>34</v>
      </c>
      <c r="F89" s="1"/>
      <c r="G89" s="1"/>
      <c r="H89" s="1"/>
      <c r="I89" s="1"/>
      <c r="J89" s="1"/>
      <c r="K89" s="1"/>
      <c r="L89" s="1"/>
      <c r="M89" s="1"/>
      <c r="N89" s="1"/>
      <c r="P89">
        <f>AVERAGE(R84:R86)</f>
        <v>8.8599999999999998E-2</v>
      </c>
    </row>
    <row r="90" spans="1:25" x14ac:dyDescent="0.45">
      <c r="A90" s="1" t="s">
        <v>35</v>
      </c>
      <c r="B90" s="1"/>
      <c r="C90" s="1"/>
      <c r="D90" s="1"/>
      <c r="E90" s="1"/>
      <c r="F90" s="1"/>
      <c r="G90" s="1" t="s">
        <v>79</v>
      </c>
      <c r="H90" s="1" t="s">
        <v>71</v>
      </c>
      <c r="I90" s="1"/>
      <c r="J90" s="1"/>
      <c r="K90" s="1"/>
      <c r="L90" s="1"/>
      <c r="M90" s="1"/>
      <c r="N90" s="1"/>
    </row>
    <row r="91" spans="1:25" x14ac:dyDescent="0.45">
      <c r="A91" s="1" t="s">
        <v>36</v>
      </c>
      <c r="B91" s="1">
        <v>0.3</v>
      </c>
      <c r="C91" s="1">
        <v>0.6</v>
      </c>
      <c r="D91" s="1">
        <v>0.9</v>
      </c>
      <c r="E91" s="1"/>
      <c r="F91" s="1">
        <v>1</v>
      </c>
      <c r="G91" s="1">
        <v>0.3</v>
      </c>
      <c r="H91" s="1">
        <f>G91*0.11/1000</f>
        <v>3.3000000000000003E-5</v>
      </c>
      <c r="I91" s="1"/>
      <c r="J91" s="1"/>
      <c r="K91" s="1"/>
      <c r="L91" s="1"/>
      <c r="M91" s="1"/>
      <c r="N91" s="1"/>
      <c r="W91" t="s">
        <v>80</v>
      </c>
      <c r="X91" cm="1">
        <f t="array" ref="X91:Y91">LINEST(T84:T86,S84:S86)</f>
        <v>5.8651900548310314E-3</v>
      </c>
      <c r="Y91">
        <v>1.6240964001443606E-6</v>
      </c>
    </row>
    <row r="92" spans="1:25" x14ac:dyDescent="0.45">
      <c r="A92" s="1" t="s">
        <v>37</v>
      </c>
      <c r="B92" s="1">
        <v>0.3</v>
      </c>
      <c r="C92" s="1">
        <v>0.6</v>
      </c>
      <c r="D92" s="1">
        <v>0.9</v>
      </c>
      <c r="E92" s="1"/>
      <c r="F92" s="1">
        <v>2</v>
      </c>
      <c r="G92" s="1">
        <v>0.6</v>
      </c>
      <c r="H92" s="1">
        <f t="shared" ref="H92:H93" si="8">G92*0.11/1000</f>
        <v>6.6000000000000005E-5</v>
      </c>
      <c r="I92" s="1"/>
      <c r="J92" s="1"/>
      <c r="K92" s="1"/>
      <c r="L92" s="1"/>
      <c r="M92" s="1"/>
      <c r="N92" s="1"/>
    </row>
    <row r="93" spans="1:25" x14ac:dyDescent="0.45">
      <c r="A93" s="1" t="s">
        <v>38</v>
      </c>
      <c r="B93" s="1">
        <v>0.3</v>
      </c>
      <c r="C93" s="1">
        <v>0.6</v>
      </c>
      <c r="D93" s="1">
        <v>0.9</v>
      </c>
      <c r="E93" s="1"/>
      <c r="F93" s="1">
        <v>3</v>
      </c>
      <c r="G93" s="1">
        <v>0.9</v>
      </c>
      <c r="H93" s="1">
        <f t="shared" si="8"/>
        <v>9.9000000000000008E-5</v>
      </c>
      <c r="I93" s="1"/>
      <c r="J93" s="1"/>
      <c r="K93" s="1"/>
      <c r="L93" s="1"/>
      <c r="M93" s="1"/>
      <c r="N93" s="1"/>
    </row>
    <row r="94" spans="1:25" x14ac:dyDescent="0.45">
      <c r="A94" s="1" t="s">
        <v>39</v>
      </c>
      <c r="B94" s="1">
        <v>1</v>
      </c>
      <c r="C94" s="1">
        <v>2</v>
      </c>
      <c r="D94" s="1">
        <v>3</v>
      </c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25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25" x14ac:dyDescent="0.45">
      <c r="A96" s="1"/>
      <c r="B96" s="1"/>
      <c r="C96" s="1"/>
      <c r="D96" s="1"/>
      <c r="E96" s="1" t="s">
        <v>80</v>
      </c>
      <c r="F96" s="1" cm="1">
        <f t="array" ref="F96:G96">LINEST(H91:H93,F91:F93)</f>
        <v>3.3000000000000003E-5</v>
      </c>
      <c r="G96" s="1">
        <v>0</v>
      </c>
      <c r="H96" s="1"/>
      <c r="I96" s="1"/>
      <c r="J96" s="1"/>
      <c r="K96" s="1"/>
      <c r="L96" s="1"/>
      <c r="M96" s="1"/>
      <c r="N96" s="1"/>
    </row>
    <row r="97" spans="1:32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32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32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32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32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32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32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32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32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32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32" x14ac:dyDescent="0.45">
      <c r="A107" s="1" t="s">
        <v>40</v>
      </c>
      <c r="B107" s="1"/>
      <c r="C107" s="1"/>
      <c r="D107" s="1"/>
      <c r="E107" s="1"/>
      <c r="F107" s="1" t="s">
        <v>40</v>
      </c>
      <c r="G107" s="1" t="s">
        <v>41</v>
      </c>
      <c r="H107" s="1"/>
      <c r="I107" s="1"/>
      <c r="J107" s="1" t="s">
        <v>42</v>
      </c>
      <c r="K107" s="1" t="s">
        <v>43</v>
      </c>
      <c r="L107" s="1"/>
      <c r="M107" s="1"/>
      <c r="N107" s="1"/>
    </row>
    <row r="108" spans="1:32" x14ac:dyDescent="0.45">
      <c r="A108" s="1" t="s">
        <v>44</v>
      </c>
      <c r="B108" s="1" t="s">
        <v>45</v>
      </c>
      <c r="C108" s="1"/>
      <c r="D108" s="1" t="s">
        <v>46</v>
      </c>
      <c r="E108" s="1" t="s">
        <v>47</v>
      </c>
      <c r="F108" s="1" t="s">
        <v>20</v>
      </c>
      <c r="G108" s="1" t="s">
        <v>21</v>
      </c>
      <c r="H108" s="1" t="s">
        <v>22</v>
      </c>
      <c r="I108" s="1"/>
      <c r="J108" s="1"/>
      <c r="K108" s="1" t="s">
        <v>20</v>
      </c>
      <c r="L108" s="1" t="s">
        <v>21</v>
      </c>
      <c r="M108" s="1" t="s">
        <v>22</v>
      </c>
      <c r="N108" s="1"/>
      <c r="O108" s="1" t="s">
        <v>57</v>
      </c>
      <c r="Q108" s="1" t="s">
        <v>58</v>
      </c>
      <c r="S108" t="s">
        <v>71</v>
      </c>
    </row>
    <row r="109" spans="1:32" x14ac:dyDescent="0.45">
      <c r="A109" s="1">
        <v>5.62</v>
      </c>
      <c r="B109" s="1">
        <v>1.1000000000000001</v>
      </c>
      <c r="C109" s="1"/>
      <c r="D109" s="1" t="s">
        <v>48</v>
      </c>
      <c r="E109" s="1" t="s">
        <v>49</v>
      </c>
      <c r="F109" s="1">
        <v>2.6</v>
      </c>
      <c r="G109" s="1">
        <v>3</v>
      </c>
      <c r="H109" s="1">
        <v>3</v>
      </c>
      <c r="I109" s="1"/>
      <c r="J109" s="1">
        <v>2.6</v>
      </c>
      <c r="K109" s="1">
        <v>5</v>
      </c>
      <c r="L109" s="1">
        <v>5</v>
      </c>
      <c r="M109" s="1">
        <v>5</v>
      </c>
      <c r="N109" s="1"/>
      <c r="O109">
        <f>AVERAGE(L109:M109)</f>
        <v>5</v>
      </c>
      <c r="Q109">
        <f>AVERAGE(G109:H109)</f>
        <v>3</v>
      </c>
      <c r="S109">
        <f>Q109*0.11/1000</f>
        <v>3.3E-4</v>
      </c>
      <c r="AD109" s="1">
        <v>2.6</v>
      </c>
      <c r="AE109" s="1">
        <v>3</v>
      </c>
      <c r="AF109" s="1">
        <v>3</v>
      </c>
    </row>
    <row r="110" spans="1:32" x14ac:dyDescent="0.45">
      <c r="A110" s="1">
        <v>5.04</v>
      </c>
      <c r="B110" s="1">
        <v>1</v>
      </c>
      <c r="C110" s="1"/>
      <c r="D110" s="1"/>
      <c r="E110" s="1"/>
      <c r="F110" s="1">
        <v>2.4</v>
      </c>
      <c r="G110" s="1">
        <v>2.6</v>
      </c>
      <c r="H110" s="1">
        <v>2.7</v>
      </c>
      <c r="I110" s="1"/>
      <c r="J110" s="1">
        <v>2.6</v>
      </c>
      <c r="K110" s="1">
        <v>4.42</v>
      </c>
      <c r="L110" s="1">
        <v>4.4000000000000004</v>
      </c>
      <c r="M110" s="1">
        <v>4.4000000000000004</v>
      </c>
      <c r="N110" s="1"/>
      <c r="O110">
        <f t="shared" ref="O110:O125" si="9">AVERAGE(L110:M110)</f>
        <v>4.4000000000000004</v>
      </c>
      <c r="Q110">
        <f t="shared" ref="Q110:Q125" si="10">AVERAGE(G110:H110)</f>
        <v>2.6500000000000004</v>
      </c>
      <c r="S110">
        <f t="shared" ref="S110:S125" si="11">Q110*0.11/1000</f>
        <v>2.9150000000000004E-4</v>
      </c>
      <c r="AD110" s="1">
        <v>2.4</v>
      </c>
      <c r="AE110" s="1">
        <v>2.6</v>
      </c>
      <c r="AF110" s="1">
        <v>2.7</v>
      </c>
    </row>
    <row r="111" spans="1:32" x14ac:dyDescent="0.45">
      <c r="A111" s="1">
        <v>4.3899999999999997</v>
      </c>
      <c r="B111" s="1">
        <v>0.9</v>
      </c>
      <c r="C111" s="1"/>
      <c r="D111" s="1"/>
      <c r="E111" s="1"/>
      <c r="F111" s="1">
        <v>2.0499999999999998</v>
      </c>
      <c r="G111" s="1">
        <v>2.35</v>
      </c>
      <c r="H111" s="1">
        <v>2.4</v>
      </c>
      <c r="I111" s="1"/>
      <c r="J111" s="1">
        <v>2.6</v>
      </c>
      <c r="K111" s="1">
        <v>3.8</v>
      </c>
      <c r="L111" s="1">
        <v>3.8</v>
      </c>
      <c r="M111" s="1">
        <v>3.8</v>
      </c>
      <c r="N111" s="1"/>
      <c r="O111">
        <f t="shared" si="9"/>
        <v>3.8</v>
      </c>
      <c r="Q111">
        <f t="shared" si="10"/>
        <v>2.375</v>
      </c>
      <c r="S111">
        <f t="shared" si="11"/>
        <v>2.6124999999999998E-4</v>
      </c>
      <c r="AD111" s="1">
        <v>2.0499999999999998</v>
      </c>
      <c r="AE111" s="1">
        <v>2.35</v>
      </c>
      <c r="AF111" s="1">
        <v>2.4</v>
      </c>
    </row>
    <row r="112" spans="1:32" x14ac:dyDescent="0.45">
      <c r="A112" s="1">
        <v>3.81</v>
      </c>
      <c r="B112" s="1">
        <v>0.76</v>
      </c>
      <c r="C112" s="1"/>
      <c r="D112" s="1"/>
      <c r="E112" s="1"/>
      <c r="F112" s="1">
        <v>1.7</v>
      </c>
      <c r="G112" s="1">
        <v>2</v>
      </c>
      <c r="H112" s="1">
        <v>2.1</v>
      </c>
      <c r="I112" s="1"/>
      <c r="J112" s="1">
        <v>2.6</v>
      </c>
      <c r="K112" s="1">
        <v>3.21</v>
      </c>
      <c r="L112" s="1">
        <v>3.2</v>
      </c>
      <c r="M112" s="1">
        <v>3.2</v>
      </c>
      <c r="N112" s="1"/>
      <c r="O112">
        <f t="shared" si="9"/>
        <v>3.2</v>
      </c>
      <c r="Q112">
        <f t="shared" si="10"/>
        <v>2.0499999999999998</v>
      </c>
      <c r="S112">
        <f t="shared" si="11"/>
        <v>2.2549999999999998E-4</v>
      </c>
      <c r="AD112" s="1">
        <v>1.7</v>
      </c>
      <c r="AE112" s="1">
        <v>2</v>
      </c>
      <c r="AF112" s="1">
        <v>2.1</v>
      </c>
    </row>
    <row r="113" spans="1:32" x14ac:dyDescent="0.45">
      <c r="A113" s="1">
        <v>3.2</v>
      </c>
      <c r="B113" s="1">
        <v>0.63</v>
      </c>
      <c r="C113" s="1"/>
      <c r="D113" s="1"/>
      <c r="E113" s="1"/>
      <c r="F113" s="1">
        <v>1.4</v>
      </c>
      <c r="G113" s="1">
        <v>1.55</v>
      </c>
      <c r="H113" s="1">
        <v>1.66</v>
      </c>
      <c r="I113" s="1"/>
      <c r="J113" s="1">
        <v>2.6</v>
      </c>
      <c r="K113" s="1">
        <v>2.6</v>
      </c>
      <c r="L113" s="1">
        <v>2.6</v>
      </c>
      <c r="M113" s="1">
        <v>2.6</v>
      </c>
      <c r="N113" s="1"/>
      <c r="O113">
        <f t="shared" si="9"/>
        <v>2.6</v>
      </c>
      <c r="Q113">
        <f t="shared" si="10"/>
        <v>1.605</v>
      </c>
      <c r="S113">
        <f t="shared" si="11"/>
        <v>1.7655000000000001E-4</v>
      </c>
      <c r="AD113" s="1">
        <v>1.4</v>
      </c>
      <c r="AE113" s="1">
        <v>1.55</v>
      </c>
      <c r="AF113" s="1">
        <v>1.66</v>
      </c>
    </row>
    <row r="114" spans="1:32" x14ac:dyDescent="0.45">
      <c r="A114" s="1">
        <v>2.61</v>
      </c>
      <c r="B114" s="1">
        <v>4.8</v>
      </c>
      <c r="C114" s="1"/>
      <c r="D114" s="1"/>
      <c r="E114" s="1"/>
      <c r="F114" s="1">
        <v>1</v>
      </c>
      <c r="G114" s="1">
        <v>1.3</v>
      </c>
      <c r="H114" s="1">
        <v>1.3</v>
      </c>
      <c r="I114" s="1"/>
      <c r="J114" s="1">
        <v>2.6</v>
      </c>
      <c r="K114" s="1">
        <v>2</v>
      </c>
      <c r="L114" s="1">
        <v>2.0099999999999998</v>
      </c>
      <c r="M114" s="1">
        <v>2.0099999999999998</v>
      </c>
      <c r="N114" s="1"/>
      <c r="O114">
        <f t="shared" si="9"/>
        <v>2.0099999999999998</v>
      </c>
      <c r="Q114">
        <f t="shared" si="10"/>
        <v>1.3</v>
      </c>
      <c r="S114">
        <f t="shared" si="11"/>
        <v>1.4300000000000001E-4</v>
      </c>
      <c r="AD114" s="1">
        <v>1</v>
      </c>
      <c r="AE114" s="1">
        <v>1.3</v>
      </c>
      <c r="AF114" s="1">
        <v>1.3</v>
      </c>
    </row>
    <row r="115" spans="1:32" x14ac:dyDescent="0.45">
      <c r="A115" s="1">
        <v>2.0099999999999998</v>
      </c>
      <c r="B115" s="1">
        <v>0.3</v>
      </c>
      <c r="C115" s="1"/>
      <c r="D115" s="1"/>
      <c r="E115" s="1"/>
      <c r="F115" s="1">
        <v>0.6</v>
      </c>
      <c r="G115" s="1">
        <v>0.9</v>
      </c>
      <c r="H115" s="1">
        <v>1</v>
      </c>
      <c r="I115" s="1"/>
      <c r="J115" s="1">
        <v>2.6</v>
      </c>
      <c r="K115" s="1">
        <v>1.4</v>
      </c>
      <c r="L115" s="1">
        <v>1.4</v>
      </c>
      <c r="M115" s="1">
        <v>1.4</v>
      </c>
      <c r="N115" s="1"/>
      <c r="O115">
        <f t="shared" si="9"/>
        <v>1.4</v>
      </c>
      <c r="Q115">
        <f t="shared" si="10"/>
        <v>0.95</v>
      </c>
      <c r="S115">
        <f t="shared" si="11"/>
        <v>1.0449999999999999E-4</v>
      </c>
      <c r="AD115" s="1">
        <v>0.6</v>
      </c>
      <c r="AE115" s="1">
        <v>0.9</v>
      </c>
      <c r="AF115" s="1">
        <v>1</v>
      </c>
    </row>
    <row r="116" spans="1:32" x14ac:dyDescent="0.45">
      <c r="A116" s="1">
        <v>1.41</v>
      </c>
      <c r="B116" s="1">
        <v>0.2</v>
      </c>
      <c r="C116" s="1"/>
      <c r="D116" s="1"/>
      <c r="E116" s="1"/>
      <c r="F116" s="1">
        <v>0.25</v>
      </c>
      <c r="G116" s="1">
        <v>0.5</v>
      </c>
      <c r="H116" s="1">
        <v>0.65</v>
      </c>
      <c r="I116" s="1"/>
      <c r="J116" s="1">
        <v>2.6</v>
      </c>
      <c r="K116" s="1">
        <v>0.78</v>
      </c>
      <c r="L116" s="1">
        <v>0.8</v>
      </c>
      <c r="M116" s="1">
        <v>0.8</v>
      </c>
      <c r="N116" s="1"/>
      <c r="O116">
        <f t="shared" si="9"/>
        <v>0.8</v>
      </c>
      <c r="Q116">
        <f t="shared" si="10"/>
        <v>0.57499999999999996</v>
      </c>
      <c r="S116">
        <f t="shared" si="11"/>
        <v>6.3250000000000006E-5</v>
      </c>
      <c r="Z116" t="s">
        <v>87</v>
      </c>
      <c r="AA116" cm="1">
        <f t="array" ref="AA116:AB116">LINEST(S109:S125,O109:O125)</f>
        <v>6.4916302807020194E-5</v>
      </c>
      <c r="AB116">
        <v>1.0641813289060367E-5</v>
      </c>
      <c r="AD116" s="1">
        <v>0.25</v>
      </c>
      <c r="AE116" s="1">
        <v>0.5</v>
      </c>
      <c r="AF116" s="1">
        <v>0.65</v>
      </c>
    </row>
    <row r="117" spans="1:32" x14ac:dyDescent="0.45">
      <c r="A117" s="1">
        <v>0.8</v>
      </c>
      <c r="B117" s="1">
        <v>0.1</v>
      </c>
      <c r="C117" s="1"/>
      <c r="D117" s="1"/>
      <c r="E117" s="1"/>
      <c r="F117" s="1">
        <v>0.1</v>
      </c>
      <c r="G117" s="1">
        <v>0.2</v>
      </c>
      <c r="H117" s="1">
        <v>0.16</v>
      </c>
      <c r="I117" s="1"/>
      <c r="J117" s="1">
        <v>2.6</v>
      </c>
      <c r="K117" s="1">
        <v>0.2</v>
      </c>
      <c r="L117" s="1">
        <v>0.18</v>
      </c>
      <c r="M117" s="1">
        <v>0.21</v>
      </c>
      <c r="N117" s="1"/>
      <c r="O117">
        <f t="shared" si="9"/>
        <v>0.19500000000000001</v>
      </c>
      <c r="Q117">
        <f t="shared" si="10"/>
        <v>0.18</v>
      </c>
      <c r="S117">
        <f t="shared" si="11"/>
        <v>1.9799999999999997E-5</v>
      </c>
      <c r="AD117" s="1">
        <v>0.1</v>
      </c>
      <c r="AE117" s="1">
        <v>0.2</v>
      </c>
      <c r="AF117" s="1">
        <v>0.16</v>
      </c>
    </row>
    <row r="118" spans="1:32" x14ac:dyDescent="0.45">
      <c r="A118" s="1">
        <v>0.2</v>
      </c>
      <c r="B118" s="1">
        <v>0</v>
      </c>
      <c r="C118" s="1"/>
      <c r="D118" s="1"/>
      <c r="E118" s="1"/>
      <c r="F118" s="1">
        <v>-0.1</v>
      </c>
      <c r="G118" s="1">
        <v>-0.15</v>
      </c>
      <c r="H118" s="1">
        <v>-0.2</v>
      </c>
      <c r="I118" s="1"/>
      <c r="J118" s="1">
        <v>2.59</v>
      </c>
      <c r="K118" s="1">
        <v>-0.4</v>
      </c>
      <c r="L118" s="1">
        <v>-0.4</v>
      </c>
      <c r="M118" s="1">
        <v>-0.4</v>
      </c>
      <c r="N118" s="1"/>
      <c r="O118">
        <f t="shared" si="9"/>
        <v>-0.4</v>
      </c>
      <c r="Q118">
        <f t="shared" si="10"/>
        <v>-0.17499999999999999</v>
      </c>
      <c r="S118">
        <f t="shared" si="11"/>
        <v>-1.925E-5</v>
      </c>
      <c r="AD118" s="1">
        <v>-0.1</v>
      </c>
      <c r="AE118" s="1">
        <v>-0.15</v>
      </c>
      <c r="AF118" s="1">
        <v>-0.2</v>
      </c>
    </row>
    <row r="119" spans="1:32" x14ac:dyDescent="0.45">
      <c r="A119" s="1">
        <v>0</v>
      </c>
      <c r="B119" s="1">
        <v>0</v>
      </c>
      <c r="C119" s="1"/>
      <c r="D119" s="1"/>
      <c r="E119" s="1"/>
      <c r="F119" s="1">
        <v>-0.65</v>
      </c>
      <c r="G119" s="1">
        <v>-0.5</v>
      </c>
      <c r="H119" s="1">
        <v>-0.35</v>
      </c>
      <c r="I119" s="1"/>
      <c r="J119" s="1">
        <v>2.59</v>
      </c>
      <c r="K119" s="1">
        <v>-0.99</v>
      </c>
      <c r="L119" s="1">
        <v>-0.99</v>
      </c>
      <c r="M119" s="1">
        <v>-0.99</v>
      </c>
      <c r="N119" s="1"/>
      <c r="O119">
        <f t="shared" si="9"/>
        <v>-0.99</v>
      </c>
      <c r="Q119">
        <f t="shared" si="10"/>
        <v>-0.42499999999999999</v>
      </c>
      <c r="S119">
        <f t="shared" si="11"/>
        <v>-4.6749999999999998E-5</v>
      </c>
      <c r="AD119" s="1">
        <v>-0.65</v>
      </c>
      <c r="AE119" s="1">
        <v>-0.5</v>
      </c>
      <c r="AF119" s="1">
        <v>-0.35</v>
      </c>
    </row>
    <row r="120" spans="1:32" x14ac:dyDescent="0.45">
      <c r="A120" s="1">
        <v>-0.39</v>
      </c>
      <c r="B120" s="1">
        <v>-0.2</v>
      </c>
      <c r="C120" s="1"/>
      <c r="D120" s="1"/>
      <c r="E120" s="1"/>
      <c r="F120" s="1">
        <v>-1.2</v>
      </c>
      <c r="G120" s="1">
        <v>-1</v>
      </c>
      <c r="H120" s="1">
        <v>-0.8</v>
      </c>
      <c r="I120" s="1"/>
      <c r="J120" s="1">
        <v>2.59</v>
      </c>
      <c r="K120" s="1">
        <v>-1.6</v>
      </c>
      <c r="L120" s="1">
        <v>-1.6</v>
      </c>
      <c r="M120" s="1">
        <v>-1.6</v>
      </c>
      <c r="N120" s="1"/>
      <c r="O120">
        <f t="shared" si="9"/>
        <v>-1.6</v>
      </c>
      <c r="Q120">
        <f t="shared" si="10"/>
        <v>-0.9</v>
      </c>
      <c r="S120">
        <f t="shared" si="11"/>
        <v>-9.9000000000000008E-5</v>
      </c>
      <c r="AD120" s="1">
        <v>-1.2</v>
      </c>
      <c r="AE120" s="1">
        <v>-1</v>
      </c>
      <c r="AF120" s="1">
        <v>-0.8</v>
      </c>
    </row>
    <row r="121" spans="1:32" x14ac:dyDescent="0.45">
      <c r="A121" s="1">
        <v>-0.99</v>
      </c>
      <c r="B121" s="1">
        <v>-0.36</v>
      </c>
      <c r="C121" s="1"/>
      <c r="D121" s="1"/>
      <c r="E121" s="1"/>
      <c r="F121" s="1">
        <v>-1.4</v>
      </c>
      <c r="G121" s="1">
        <v>-1.3</v>
      </c>
      <c r="H121" s="1">
        <v>-1.2</v>
      </c>
      <c r="I121" s="1"/>
      <c r="J121" s="1">
        <v>2.59</v>
      </c>
      <c r="K121" s="1">
        <v>-2.2000000000000002</v>
      </c>
      <c r="L121" s="1">
        <v>-2.19</v>
      </c>
      <c r="M121" s="1">
        <v>-2.19</v>
      </c>
      <c r="N121" s="1"/>
      <c r="O121">
        <f t="shared" si="9"/>
        <v>-2.19</v>
      </c>
      <c r="Q121">
        <f t="shared" si="10"/>
        <v>-1.25</v>
      </c>
      <c r="S121">
        <f t="shared" si="11"/>
        <v>-1.3750000000000001E-4</v>
      </c>
      <c r="AD121" s="1">
        <v>-1.4</v>
      </c>
      <c r="AE121" s="1">
        <v>-1.3</v>
      </c>
      <c r="AF121" s="1">
        <v>-1.2</v>
      </c>
    </row>
    <row r="122" spans="1:32" x14ac:dyDescent="0.45">
      <c r="A122" s="1">
        <v>-1.62</v>
      </c>
      <c r="B122" s="1">
        <v>-0.42</v>
      </c>
      <c r="C122" s="1"/>
      <c r="D122" s="1"/>
      <c r="E122" s="1"/>
      <c r="F122" s="1">
        <v>-1.9</v>
      </c>
      <c r="G122" s="1">
        <v>-1.6</v>
      </c>
      <c r="H122" s="1">
        <v>-1.3</v>
      </c>
      <c r="I122" s="1"/>
      <c r="J122" s="1">
        <v>2.59</v>
      </c>
      <c r="K122" s="1">
        <v>-2.8</v>
      </c>
      <c r="L122" s="1">
        <v>-2.8</v>
      </c>
      <c r="M122" s="1">
        <v>-2.8</v>
      </c>
      <c r="N122" s="1"/>
      <c r="O122">
        <f t="shared" si="9"/>
        <v>-2.8</v>
      </c>
      <c r="Q122">
        <f t="shared" si="10"/>
        <v>-1.4500000000000002</v>
      </c>
      <c r="S122">
        <f t="shared" si="11"/>
        <v>-1.5950000000000003E-4</v>
      </c>
      <c r="AD122" s="1">
        <v>-1.9</v>
      </c>
      <c r="AE122" s="1">
        <v>-1.6</v>
      </c>
      <c r="AF122" s="1">
        <v>-1.3</v>
      </c>
    </row>
    <row r="123" spans="1:32" x14ac:dyDescent="0.45">
      <c r="A123" s="1"/>
      <c r="B123" s="1"/>
      <c r="C123" s="1"/>
      <c r="D123" s="1"/>
      <c r="E123" s="1"/>
      <c r="F123" s="1">
        <v>-2.2999999999999998</v>
      </c>
      <c r="G123" s="1">
        <v>-2</v>
      </c>
      <c r="H123" s="1">
        <v>-1.7</v>
      </c>
      <c r="I123" s="1"/>
      <c r="J123" s="1">
        <v>2.59</v>
      </c>
      <c r="K123" s="1">
        <v>-3.4</v>
      </c>
      <c r="L123" s="1">
        <v>-3.4</v>
      </c>
      <c r="M123" s="1">
        <v>-3.4</v>
      </c>
      <c r="N123" s="1"/>
      <c r="O123">
        <f t="shared" si="9"/>
        <v>-3.4</v>
      </c>
      <c r="Q123">
        <f t="shared" si="10"/>
        <v>-1.85</v>
      </c>
      <c r="S123">
        <f t="shared" si="11"/>
        <v>-2.0350000000000001E-4</v>
      </c>
      <c r="AD123" s="1">
        <v>-2.2999999999999998</v>
      </c>
      <c r="AE123" s="1">
        <v>-2</v>
      </c>
      <c r="AF123" s="1">
        <v>-1.7</v>
      </c>
    </row>
    <row r="124" spans="1:32" x14ac:dyDescent="0.45">
      <c r="A124" s="1"/>
      <c r="B124" s="1"/>
      <c r="C124" s="1"/>
      <c r="D124" s="1"/>
      <c r="E124" s="1"/>
      <c r="F124" s="1">
        <v>-2.6</v>
      </c>
      <c r="G124" s="1">
        <v>-2.35</v>
      </c>
      <c r="H124" s="1">
        <v>-2.1</v>
      </c>
      <c r="I124" s="1"/>
      <c r="J124" s="1">
        <v>2.59</v>
      </c>
      <c r="K124" s="1">
        <v>-4</v>
      </c>
      <c r="L124" s="1">
        <v>-4</v>
      </c>
      <c r="M124" s="1">
        <v>-4</v>
      </c>
      <c r="N124" s="1"/>
      <c r="O124">
        <f t="shared" si="9"/>
        <v>-4</v>
      </c>
      <c r="Q124">
        <f t="shared" si="10"/>
        <v>-2.2250000000000001</v>
      </c>
      <c r="S124">
        <f t="shared" si="11"/>
        <v>-2.4475000000000001E-4</v>
      </c>
      <c r="AD124" s="1">
        <v>-2.6</v>
      </c>
      <c r="AE124" s="1">
        <v>-2.35</v>
      </c>
      <c r="AF124" s="1">
        <v>-2.1</v>
      </c>
    </row>
    <row r="125" spans="1:32" x14ac:dyDescent="0.45">
      <c r="A125" s="1"/>
      <c r="B125" s="1"/>
      <c r="C125" s="1"/>
      <c r="D125" s="1"/>
      <c r="E125" s="1"/>
      <c r="F125" s="1">
        <v>-2.9</v>
      </c>
      <c r="G125" s="1">
        <v>-2.8</v>
      </c>
      <c r="H125" s="1">
        <v>-2.7</v>
      </c>
      <c r="I125" s="1"/>
      <c r="J125" s="1">
        <v>2.59</v>
      </c>
      <c r="K125" s="1">
        <v>-4.6100000000000003</v>
      </c>
      <c r="L125" s="1">
        <v>-4.6100000000000003</v>
      </c>
      <c r="M125" s="1">
        <v>-4.6100000000000003</v>
      </c>
      <c r="N125" s="1"/>
      <c r="O125">
        <f t="shared" si="9"/>
        <v>-4.6100000000000003</v>
      </c>
      <c r="Q125">
        <f t="shared" si="10"/>
        <v>-2.75</v>
      </c>
      <c r="S125">
        <f t="shared" si="11"/>
        <v>-3.0249999999999998E-4</v>
      </c>
      <c r="AD125" s="1">
        <v>-2.9</v>
      </c>
      <c r="AE125" s="1">
        <v>-2.8</v>
      </c>
      <c r="AF125" s="1">
        <v>-2.7</v>
      </c>
    </row>
    <row r="126" spans="1:32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32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32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Q128" cm="1">
        <f t="array" ref="Q128">AVERAGE(ABS(Q109:Q125))</f>
        <v>1.5123529411764707</v>
      </c>
    </row>
    <row r="129" spans="1:17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Q129" cm="1">
        <f t="array" ref="Q129">AVERAGE(ABS(O109:O125))</f>
        <v>2.552647058823529</v>
      </c>
    </row>
    <row r="130" spans="1:17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7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7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7" x14ac:dyDescent="0.45">
      <c r="A133" s="1" t="s">
        <v>50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7" x14ac:dyDescent="0.45">
      <c r="A134" s="1" t="s">
        <v>45</v>
      </c>
      <c r="B134" s="1" t="s">
        <v>51</v>
      </c>
      <c r="C134" s="1" t="s">
        <v>52</v>
      </c>
      <c r="D134" s="1"/>
      <c r="E134" s="1" t="s">
        <v>71</v>
      </c>
      <c r="F134" s="1"/>
      <c r="G134" s="1"/>
      <c r="H134" s="1"/>
      <c r="I134" s="1"/>
      <c r="J134" s="1"/>
      <c r="K134" s="1"/>
      <c r="L134" s="1"/>
      <c r="M134" s="1"/>
      <c r="N134" s="1"/>
    </row>
    <row r="135" spans="1:17" x14ac:dyDescent="0.45">
      <c r="A135" s="1">
        <v>0.1</v>
      </c>
      <c r="B135" s="1">
        <v>0.4</v>
      </c>
      <c r="C135" s="1">
        <v>2.59</v>
      </c>
      <c r="D135" s="1" t="s">
        <v>53</v>
      </c>
      <c r="E135" s="1">
        <f>0.11*A135/1000</f>
        <v>1.1000000000000001E-5</v>
      </c>
      <c r="F135" s="1"/>
      <c r="G135" s="1"/>
      <c r="H135" s="1"/>
      <c r="I135" s="1"/>
      <c r="J135" s="1"/>
      <c r="K135" s="1"/>
      <c r="L135" s="1"/>
      <c r="M135" s="1"/>
      <c r="N135" s="1"/>
    </row>
    <row r="136" spans="1:17" x14ac:dyDescent="0.45">
      <c r="A136" s="1">
        <v>0.3</v>
      </c>
      <c r="B136" s="1">
        <v>0.82</v>
      </c>
      <c r="C136" s="1">
        <v>2.57</v>
      </c>
      <c r="D136" s="1"/>
      <c r="E136" s="1">
        <f t="shared" ref="E136:E148" si="12">0.11*A136/1000</f>
        <v>3.3000000000000003E-5</v>
      </c>
      <c r="F136" s="1"/>
      <c r="G136" s="1"/>
      <c r="H136" s="1"/>
      <c r="I136" s="1"/>
      <c r="J136" s="1"/>
      <c r="K136" s="1"/>
      <c r="L136" s="1"/>
      <c r="M136" s="1"/>
      <c r="N136" s="1"/>
    </row>
    <row r="137" spans="1:17" x14ac:dyDescent="0.45">
      <c r="A137" s="1">
        <v>0.4</v>
      </c>
      <c r="B137" s="1">
        <v>1.21</v>
      </c>
      <c r="C137" s="1">
        <v>2.57</v>
      </c>
      <c r="D137" s="1"/>
      <c r="E137" s="1">
        <f t="shared" si="12"/>
        <v>4.4000000000000006E-5</v>
      </c>
      <c r="F137" s="1"/>
      <c r="G137" s="1"/>
      <c r="H137" s="1"/>
      <c r="I137" s="1"/>
      <c r="J137" s="1"/>
      <c r="K137" s="1"/>
      <c r="L137" s="1"/>
      <c r="M137" s="1"/>
      <c r="N137" s="1"/>
    </row>
    <row r="138" spans="1:17" x14ac:dyDescent="0.45">
      <c r="A138" s="1">
        <v>0.5</v>
      </c>
      <c r="B138" s="1">
        <v>1.59</v>
      </c>
      <c r="C138" s="1">
        <v>2.57</v>
      </c>
      <c r="D138" s="1"/>
      <c r="E138" s="1">
        <f t="shared" si="12"/>
        <v>5.5000000000000002E-5</v>
      </c>
      <c r="F138" s="1"/>
      <c r="G138" s="1"/>
      <c r="H138" s="1"/>
      <c r="I138" s="1"/>
      <c r="J138" s="1"/>
      <c r="K138" s="1"/>
      <c r="L138" s="1"/>
      <c r="M138" s="1"/>
      <c r="N138" s="1"/>
    </row>
    <row r="139" spans="1:17" x14ac:dyDescent="0.45">
      <c r="A139" s="1">
        <v>0.5</v>
      </c>
      <c r="B139" s="1">
        <v>1.99</v>
      </c>
      <c r="C139" s="1">
        <v>2.6</v>
      </c>
      <c r="D139" s="1"/>
      <c r="E139" s="1">
        <f t="shared" si="12"/>
        <v>5.5000000000000002E-5</v>
      </c>
      <c r="F139" s="1"/>
      <c r="G139" s="1"/>
      <c r="H139" s="1"/>
      <c r="I139" s="1"/>
      <c r="J139" s="1"/>
      <c r="K139" s="1"/>
      <c r="L139" s="1"/>
      <c r="M139" s="1"/>
      <c r="N139" s="1"/>
    </row>
    <row r="140" spans="1:17" x14ac:dyDescent="0.45">
      <c r="A140" s="1">
        <v>0.6</v>
      </c>
      <c r="B140" s="1">
        <v>2.38</v>
      </c>
      <c r="C140" s="1">
        <v>2.59</v>
      </c>
      <c r="D140" s="1"/>
      <c r="E140" s="1">
        <f t="shared" si="12"/>
        <v>6.6000000000000005E-5</v>
      </c>
      <c r="F140" s="1"/>
      <c r="G140" s="1"/>
      <c r="H140" s="1"/>
      <c r="I140" s="1"/>
      <c r="J140" s="1"/>
      <c r="K140" s="1"/>
      <c r="L140" s="1"/>
      <c r="M140" s="1"/>
      <c r="N140" s="1"/>
    </row>
    <row r="141" spans="1:17" x14ac:dyDescent="0.45">
      <c r="A141" s="1">
        <v>0.6</v>
      </c>
      <c r="B141" s="1">
        <v>2.81</v>
      </c>
      <c r="C141" s="1">
        <v>2.59</v>
      </c>
      <c r="D141" s="1"/>
      <c r="E141" s="1">
        <f t="shared" si="12"/>
        <v>6.6000000000000005E-5</v>
      </c>
      <c r="F141" s="1"/>
      <c r="G141" s="1"/>
      <c r="H141" s="1"/>
      <c r="I141" s="1"/>
      <c r="J141" s="1"/>
      <c r="K141" s="1"/>
      <c r="L141" s="1"/>
      <c r="M141" s="1"/>
      <c r="N141" s="1"/>
    </row>
    <row r="142" spans="1:17" x14ac:dyDescent="0.45">
      <c r="A142" s="1">
        <v>0.7</v>
      </c>
      <c r="B142" s="1">
        <v>3.2</v>
      </c>
      <c r="C142" s="1">
        <v>2.59</v>
      </c>
      <c r="D142" s="1"/>
      <c r="E142" s="1">
        <f t="shared" si="12"/>
        <v>7.7000000000000001E-5</v>
      </c>
      <c r="F142" s="1"/>
      <c r="G142" s="1"/>
      <c r="H142" s="1"/>
      <c r="I142" s="1"/>
      <c r="J142" s="1"/>
      <c r="K142" s="1"/>
      <c r="L142" s="1"/>
      <c r="M142" s="1"/>
      <c r="N142" s="1"/>
    </row>
    <row r="143" spans="1:17" x14ac:dyDescent="0.45">
      <c r="A143" s="1">
        <v>0.8</v>
      </c>
      <c r="B143" s="1">
        <v>3.6</v>
      </c>
      <c r="C143" s="1">
        <v>2.59</v>
      </c>
      <c r="D143" s="1"/>
      <c r="E143" s="1">
        <f t="shared" si="12"/>
        <v>8.8000000000000011E-5</v>
      </c>
      <c r="F143" s="1"/>
      <c r="G143" s="1"/>
      <c r="H143" s="1"/>
      <c r="I143" s="1"/>
      <c r="J143" s="1"/>
      <c r="K143" s="1"/>
      <c r="L143" s="1"/>
      <c r="M143" s="1"/>
      <c r="N143" s="1"/>
    </row>
    <row r="144" spans="1:17" x14ac:dyDescent="0.45">
      <c r="A144" s="1">
        <v>0.9</v>
      </c>
      <c r="B144" s="1">
        <v>3.99</v>
      </c>
      <c r="C144" s="1">
        <v>2.58</v>
      </c>
      <c r="D144" s="1"/>
      <c r="E144" s="1">
        <f t="shared" si="12"/>
        <v>9.9000000000000008E-5</v>
      </c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45">
      <c r="A145" s="1">
        <v>1</v>
      </c>
      <c r="B145" s="1">
        <v>4.3899999999999997</v>
      </c>
      <c r="C145" s="1">
        <v>2.58</v>
      </c>
      <c r="D145" s="1"/>
      <c r="E145" s="1">
        <f t="shared" si="12"/>
        <v>1.1E-4</v>
      </c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45">
      <c r="A146" s="1">
        <v>1.1000000000000001</v>
      </c>
      <c r="B146" s="1">
        <v>4.8</v>
      </c>
      <c r="C146" s="1">
        <v>2.57</v>
      </c>
      <c r="D146" s="1"/>
      <c r="E146" s="1">
        <f t="shared" si="12"/>
        <v>1.2100000000000001E-4</v>
      </c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45">
      <c r="A147" s="1">
        <v>1.1000000000000001</v>
      </c>
      <c r="B147" s="1">
        <v>5.19</v>
      </c>
      <c r="C147" s="1">
        <v>2.57</v>
      </c>
      <c r="D147" s="1"/>
      <c r="E147" s="1">
        <f t="shared" si="12"/>
        <v>1.2100000000000001E-4</v>
      </c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45">
      <c r="A148" s="1">
        <v>1.2</v>
      </c>
      <c r="B148" s="1">
        <v>5.53</v>
      </c>
      <c r="C148" s="1">
        <v>2.57</v>
      </c>
      <c r="D148" s="1"/>
      <c r="E148" s="1">
        <f t="shared" si="12"/>
        <v>1.3200000000000001E-4</v>
      </c>
      <c r="F148" s="1"/>
      <c r="G148" s="1"/>
      <c r="H148" s="1"/>
      <c r="I148" s="1"/>
      <c r="J148" s="1"/>
      <c r="K148" s="1"/>
      <c r="L148" s="1"/>
      <c r="M148" s="1"/>
      <c r="N148" s="1"/>
    </row>
    <row r="151" spans="1:14" x14ac:dyDescent="0.45">
      <c r="E151" t="s">
        <v>87</v>
      </c>
      <c r="F151" cm="1">
        <f t="array" ref="F151:G151">LINEST(E135:E148,B135:B148)</f>
        <v>2.1666763513518894E-5</v>
      </c>
      <c r="G151">
        <v>1.2154472055968444E-5</v>
      </c>
    </row>
    <row r="152" spans="1:14" x14ac:dyDescent="0.45">
      <c r="F152">
        <f>2.4824*10^-5</f>
        <v>2.4824000000000005E-5</v>
      </c>
    </row>
    <row r="153" spans="1:14" x14ac:dyDescent="0.45">
      <c r="B153">
        <f>AVERAGE(A135:A148)</f>
        <v>0.7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2997-CB03-4E58-B3C3-7B89184D9EE3}">
  <dimension ref="A1:H75"/>
  <sheetViews>
    <sheetView tabSelected="1" topLeftCell="A24" zoomScale="82" workbookViewId="0">
      <selection activeCell="B47" sqref="B47"/>
    </sheetView>
  </sheetViews>
  <sheetFormatPr defaultColWidth="15.59765625" defaultRowHeight="14.25" x14ac:dyDescent="0.45"/>
  <sheetData>
    <row r="1" spans="1:8" x14ac:dyDescent="0.45">
      <c r="A1" t="s">
        <v>59</v>
      </c>
      <c r="C1" t="s">
        <v>60</v>
      </c>
      <c r="D1" t="s">
        <v>61</v>
      </c>
      <c r="E1" t="s">
        <v>62</v>
      </c>
      <c r="F1">
        <v>21.5</v>
      </c>
    </row>
    <row r="2" spans="1:8" x14ac:dyDescent="0.45">
      <c r="A2" t="s">
        <v>63</v>
      </c>
      <c r="D2" t="s">
        <v>64</v>
      </c>
    </row>
    <row r="4" spans="1:8" x14ac:dyDescent="0.45">
      <c r="D4" t="s">
        <v>65</v>
      </c>
      <c r="E4">
        <v>1.2566370614359173E-6</v>
      </c>
      <c r="F4">
        <v>3.1415926535897931</v>
      </c>
    </row>
    <row r="5" spans="1:8" x14ac:dyDescent="0.45">
      <c r="A5" t="s">
        <v>66</v>
      </c>
      <c r="C5" t="s">
        <v>67</v>
      </c>
      <c r="D5" t="s">
        <v>68</v>
      </c>
      <c r="E5" t="s">
        <v>69</v>
      </c>
    </row>
    <row r="6" spans="1:8" x14ac:dyDescent="0.45">
      <c r="A6" t="s">
        <v>70</v>
      </c>
      <c r="C6">
        <f>(8*E4*154)/(5*SQRT(5)*0.1975)</f>
        <v>7.011298631811381E-4</v>
      </c>
    </row>
    <row r="7" spans="1:8" x14ac:dyDescent="0.45">
      <c r="C7" t="s">
        <v>104</v>
      </c>
      <c r="D7" t="s">
        <v>105</v>
      </c>
      <c r="E7" t="s">
        <v>106</v>
      </c>
    </row>
    <row r="9" spans="1:8" x14ac:dyDescent="0.45">
      <c r="A9" t="s">
        <v>81</v>
      </c>
      <c r="B9" t="s">
        <v>88</v>
      </c>
      <c r="C9" t="s">
        <v>41</v>
      </c>
      <c r="D9" t="s">
        <v>89</v>
      </c>
      <c r="E9" t="s">
        <v>107</v>
      </c>
    </row>
    <row r="10" spans="1:8" x14ac:dyDescent="0.45">
      <c r="A10" t="s">
        <v>87</v>
      </c>
      <c r="B10">
        <f>data!R38</f>
        <v>4.6457478095495172E-5</v>
      </c>
      <c r="D10" t="s">
        <v>114</v>
      </c>
      <c r="F10">
        <f>SQRT(H10^2 + H11^2)</f>
        <v>8.7356167243559213E-2</v>
      </c>
      <c r="G10" t="s">
        <v>115</v>
      </c>
      <c r="H10">
        <f>0.05/data!N25</f>
        <v>8.7040618955512586E-2</v>
      </c>
    </row>
    <row r="11" spans="1:8" x14ac:dyDescent="0.45">
      <c r="A11" t="s">
        <v>112</v>
      </c>
      <c r="B11">
        <f>B10/(3*1.8*PI()*(0.12^2)*1/4)</f>
        <v>7.6069313605776835E-4</v>
      </c>
      <c r="G11" t="s">
        <v>116</v>
      </c>
      <c r="H11">
        <f>0.01/data!N26</f>
        <v>7.4182617455810975E-3</v>
      </c>
    </row>
    <row r="12" spans="1:8" x14ac:dyDescent="0.45">
      <c r="A12" t="s">
        <v>113</v>
      </c>
      <c r="B12">
        <f>C6/B11</f>
        <v>0.92169868498444441</v>
      </c>
      <c r="C12">
        <f>(1-B12)*100</f>
        <v>7.8301315015555595</v>
      </c>
    </row>
    <row r="13" spans="1:8" x14ac:dyDescent="0.45">
      <c r="D13" t="s">
        <v>118</v>
      </c>
      <c r="F13">
        <f>SQRT(F10^2 +H13^2)</f>
        <v>8.7360141940871022E-2</v>
      </c>
      <c r="G13" t="s">
        <v>117</v>
      </c>
      <c r="H13">
        <f>0.1/120</f>
        <v>8.3333333333333339E-4</v>
      </c>
    </row>
    <row r="14" spans="1:8" x14ac:dyDescent="0.45">
      <c r="D14" t="s">
        <v>120</v>
      </c>
      <c r="F14">
        <f>F13*B11</f>
        <v>6.6454260339452955E-5</v>
      </c>
      <c r="G14" t="s">
        <v>119</v>
      </c>
    </row>
    <row r="15" spans="1:8" x14ac:dyDescent="0.45">
      <c r="D15" t="s">
        <v>121</v>
      </c>
      <c r="E15">
        <f>B11*10^4</f>
        <v>7.6069313605776836</v>
      </c>
      <c r="F15">
        <f>F14*10^4</f>
        <v>0.66454260339452953</v>
      </c>
    </row>
    <row r="18" spans="1:8" x14ac:dyDescent="0.45">
      <c r="A18" t="s">
        <v>82</v>
      </c>
      <c r="B18" t="s">
        <v>90</v>
      </c>
      <c r="C18" t="s">
        <v>91</v>
      </c>
      <c r="D18" t="s">
        <v>92</v>
      </c>
      <c r="E18" t="s">
        <v>96</v>
      </c>
      <c r="F18" t="s">
        <v>108</v>
      </c>
    </row>
    <row r="19" spans="1:8" x14ac:dyDescent="0.45">
      <c r="A19" t="s">
        <v>87</v>
      </c>
      <c r="B19">
        <f>data!F96</f>
        <v>3.3000000000000003E-5</v>
      </c>
      <c r="D19" t="s">
        <v>114</v>
      </c>
      <c r="F19">
        <f>H19</f>
        <v>8.3333333333333343E-2</v>
      </c>
      <c r="G19" t="s">
        <v>115</v>
      </c>
      <c r="H19">
        <f>0.05/0.6</f>
        <v>8.3333333333333343E-2</v>
      </c>
    </row>
    <row r="20" spans="1:8" x14ac:dyDescent="0.45">
      <c r="A20" t="s">
        <v>112</v>
      </c>
      <c r="B20">
        <f>B19/(2.6*1.5*PI()*(0.12^2)/4)</f>
        <v>7.4816426239779853E-4</v>
      </c>
    </row>
    <row r="21" spans="1:8" x14ac:dyDescent="0.45">
      <c r="A21" t="s">
        <v>113</v>
      </c>
      <c r="B21">
        <f>C6/B20</f>
        <v>0.93713359274082475</v>
      </c>
      <c r="C21">
        <f>(1-B21)*100</f>
        <v>6.2866407259175254</v>
      </c>
    </row>
    <row r="22" spans="1:8" x14ac:dyDescent="0.45">
      <c r="D22" t="s">
        <v>118</v>
      </c>
      <c r="F22">
        <f>SQRT(F19^2+ 2*H13^2)</f>
        <v>8.3341666250041677E-2</v>
      </c>
    </row>
    <row r="23" spans="1:8" x14ac:dyDescent="0.45">
      <c r="A23">
        <f>1-(C6/0.00075)</f>
        <v>6.5160182425149205E-2</v>
      </c>
      <c r="D23" t="s">
        <v>120</v>
      </c>
      <c r="F23">
        <f>B20*F22</f>
        <v>6.2353256256965928E-5</v>
      </c>
    </row>
    <row r="24" spans="1:8" x14ac:dyDescent="0.45">
      <c r="D24" t="s">
        <v>121</v>
      </c>
      <c r="E24">
        <f>B20*10^4</f>
        <v>7.4816426239779856</v>
      </c>
      <c r="F24">
        <f>F23*10^4</f>
        <v>0.62353256256965928</v>
      </c>
    </row>
    <row r="27" spans="1:8" x14ac:dyDescent="0.45">
      <c r="A27" t="s">
        <v>83</v>
      </c>
      <c r="B27" t="s">
        <v>93</v>
      </c>
      <c r="D27" t="s">
        <v>90</v>
      </c>
      <c r="E27" t="s">
        <v>94</v>
      </c>
      <c r="F27" t="s">
        <v>41</v>
      </c>
      <c r="G27" t="s">
        <v>95</v>
      </c>
      <c r="H27" t="s">
        <v>109</v>
      </c>
    </row>
    <row r="28" spans="1:8" x14ac:dyDescent="0.45">
      <c r="A28" t="s">
        <v>97</v>
      </c>
      <c r="B28">
        <f>data!U66</f>
        <v>1.5167966104760833E-4</v>
      </c>
      <c r="D28" t="s">
        <v>114</v>
      </c>
      <c r="F28">
        <f>SQRT(H28^2+H29^2)</f>
        <v>5.7754042847976084E-2</v>
      </c>
      <c r="G28" t="s">
        <v>122</v>
      </c>
      <c r="H28">
        <f>0.05/data!G78</f>
        <v>5.3941908713692956E-2</v>
      </c>
    </row>
    <row r="29" spans="1:8" x14ac:dyDescent="0.45">
      <c r="A29" t="s">
        <v>112</v>
      </c>
      <c r="B29">
        <f>B28/(3*2.6*2.5*PI()*(0.12^2)/4)</f>
        <v>6.8776546502079998E-4</v>
      </c>
      <c r="G29" t="s">
        <v>123</v>
      </c>
      <c r="H29">
        <f>1/data!G79</f>
        <v>2.0634920634920634E-2</v>
      </c>
    </row>
    <row r="30" spans="1:8" x14ac:dyDescent="0.45">
      <c r="A30" t="s">
        <v>113</v>
      </c>
      <c r="B30">
        <f>C6/B29</f>
        <v>1.0194316214466133</v>
      </c>
      <c r="C30">
        <f>(1-B30)*100</f>
        <v>-1.9431621446613256</v>
      </c>
    </row>
    <row r="31" spans="1:8" x14ac:dyDescent="0.45">
      <c r="D31" t="s">
        <v>118</v>
      </c>
      <c r="F31">
        <f>SQRT(F28^2 + 2*H13^2)</f>
        <v>5.7766065766804181E-2</v>
      </c>
    </row>
    <row r="32" spans="1:8" x14ac:dyDescent="0.45">
      <c r="A32" t="s">
        <v>126</v>
      </c>
      <c r="B32">
        <f>1-0.00069/C6</f>
        <v>1.5874182181657703E-2</v>
      </c>
      <c r="D32" t="s">
        <v>120</v>
      </c>
      <c r="F32">
        <f>B29*F31</f>
        <v>3.9729505084528189E-5</v>
      </c>
    </row>
    <row r="33" spans="1:8" x14ac:dyDescent="0.45">
      <c r="D33" t="s">
        <v>121</v>
      </c>
      <c r="E33">
        <f>B29*10^4</f>
        <v>6.877654650208</v>
      </c>
      <c r="F33">
        <f>F32*10^4</f>
        <v>0.39729505084528188</v>
      </c>
    </row>
    <row r="36" spans="1:8" x14ac:dyDescent="0.45">
      <c r="A36" t="s">
        <v>40</v>
      </c>
      <c r="B36" t="s">
        <v>98</v>
      </c>
      <c r="D36" t="s">
        <v>90</v>
      </c>
      <c r="E36" t="s">
        <v>41</v>
      </c>
      <c r="F36" t="s">
        <v>99</v>
      </c>
      <c r="H36" t="s">
        <v>110</v>
      </c>
    </row>
    <row r="37" spans="1:8" x14ac:dyDescent="0.45">
      <c r="A37" t="s">
        <v>87</v>
      </c>
      <c r="B37">
        <f>data!AA116</f>
        <v>6.4916302807020194E-5</v>
      </c>
      <c r="D37" t="s">
        <v>114</v>
      </c>
      <c r="F37">
        <f>SQRT(H37^2 +H38^2)</f>
        <v>3.3292354820013789E-2</v>
      </c>
      <c r="G37" t="s">
        <v>115</v>
      </c>
      <c r="H37">
        <f>0.05/data!Q128</f>
        <v>3.3061065733177748E-2</v>
      </c>
    </row>
    <row r="38" spans="1:8" x14ac:dyDescent="0.45">
      <c r="A38" t="s">
        <v>112</v>
      </c>
      <c r="B38">
        <f>B37/(3*2.6*PI()*(0.12^2)/4)</f>
        <v>7.3587966374555152E-4</v>
      </c>
      <c r="G38" t="s">
        <v>124</v>
      </c>
      <c r="H38">
        <f>0.01/data!Q129</f>
        <v>3.9175020163613322E-3</v>
      </c>
    </row>
    <row r="39" spans="1:8" x14ac:dyDescent="0.45">
      <c r="A39" t="s">
        <v>113</v>
      </c>
      <c r="B39">
        <f>C6/B38</f>
        <v>0.95277787622565824</v>
      </c>
      <c r="C39">
        <f>(1-B39)*100</f>
        <v>4.7222123774341762</v>
      </c>
    </row>
    <row r="40" spans="1:8" x14ac:dyDescent="0.45">
      <c r="D40" t="s">
        <v>118</v>
      </c>
      <c r="F40">
        <f>SQRT(F37^2 + 2*H13^2)</f>
        <v>3.3313207266046668E-2</v>
      </c>
    </row>
    <row r="41" spans="1:8" x14ac:dyDescent="0.45">
      <c r="D41" t="s">
        <v>120</v>
      </c>
      <c r="F41">
        <f>B38*F40</f>
        <v>2.4514511761224285E-5</v>
      </c>
    </row>
    <row r="42" spans="1:8" x14ac:dyDescent="0.45">
      <c r="D42" t="s">
        <v>121</v>
      </c>
      <c r="E42">
        <f>B38*10^4</f>
        <v>7.3587966374555149</v>
      </c>
      <c r="F42">
        <f>F41*10^4</f>
        <v>0.24514511761224286</v>
      </c>
    </row>
    <row r="45" spans="1:8" x14ac:dyDescent="0.45">
      <c r="A45" t="s">
        <v>84</v>
      </c>
      <c r="B45" t="s">
        <v>100</v>
      </c>
      <c r="D45" t="s">
        <v>27</v>
      </c>
      <c r="E45" t="s">
        <v>101</v>
      </c>
      <c r="F45" t="s">
        <v>102</v>
      </c>
      <c r="H45" t="s">
        <v>111</v>
      </c>
    </row>
    <row r="46" spans="1:8" x14ac:dyDescent="0.45">
      <c r="A46" t="s">
        <v>97</v>
      </c>
      <c r="B46">
        <f>data!X91</f>
        <v>5.8651900548310314E-3</v>
      </c>
      <c r="D46" t="s">
        <v>114</v>
      </c>
      <c r="F46">
        <f>SQRT(H46^2 + 2*H47^2)</f>
        <v>0.10490724862771894</v>
      </c>
      <c r="G46" t="s">
        <v>125</v>
      </c>
      <c r="H46">
        <f>0.05/data!P88</f>
        <v>0.10489510489510491</v>
      </c>
    </row>
    <row r="47" spans="1:8" x14ac:dyDescent="0.45">
      <c r="A47" t="s">
        <v>112</v>
      </c>
      <c r="B47">
        <f>B46/(1*2.6*4*PI()/4)</f>
        <v>7.1805691492291023E-4</v>
      </c>
      <c r="G47" t="s">
        <v>117</v>
      </c>
      <c r="H47">
        <f>0.0001/data!P89</f>
        <v>1.1286681715575622E-3</v>
      </c>
    </row>
    <row r="48" spans="1:8" x14ac:dyDescent="0.45">
      <c r="A48" t="s">
        <v>113</v>
      </c>
      <c r="B48">
        <f>C6/B47</f>
        <v>0.97642658765623136</v>
      </c>
      <c r="C48">
        <f>(1-B48)*100</f>
        <v>2.357341234376864</v>
      </c>
    </row>
    <row r="49" spans="1:6" x14ac:dyDescent="0.45">
      <c r="D49" t="s">
        <v>118</v>
      </c>
      <c r="F49">
        <f>F46</f>
        <v>0.10490724862771894</v>
      </c>
    </row>
    <row r="50" spans="1:6" x14ac:dyDescent="0.45">
      <c r="A50" t="s">
        <v>127</v>
      </c>
      <c r="B50">
        <f>1-0.00072/C6</f>
        <v>-2.6913896853922425E-2</v>
      </c>
      <c r="D50" t="s">
        <v>120</v>
      </c>
      <c r="F50">
        <f>B47*F49</f>
        <v>7.532937530267057E-5</v>
      </c>
    </row>
    <row r="51" spans="1:6" x14ac:dyDescent="0.45">
      <c r="D51" t="s">
        <v>121</v>
      </c>
      <c r="E51">
        <f>B47*10^4</f>
        <v>7.1805691492291022</v>
      </c>
      <c r="F51">
        <f>F50*10^4</f>
        <v>0.75329375302670565</v>
      </c>
    </row>
    <row r="55" spans="1:6" x14ac:dyDescent="0.45">
      <c r="A55" t="s">
        <v>85</v>
      </c>
      <c r="B55" t="s">
        <v>90</v>
      </c>
      <c r="C55" t="s">
        <v>103</v>
      </c>
    </row>
    <row r="56" spans="1:6" x14ac:dyDescent="0.45">
      <c r="A56" t="s">
        <v>87</v>
      </c>
      <c r="B56">
        <f>data!F152</f>
        <v>2.4824000000000005E-5</v>
      </c>
    </row>
    <row r="57" spans="1:6" x14ac:dyDescent="0.45">
      <c r="B57">
        <f>data!F151</f>
        <v>2.1666763513518894E-5</v>
      </c>
    </row>
    <row r="60" spans="1:6" x14ac:dyDescent="0.45">
      <c r="A60" t="s">
        <v>128</v>
      </c>
      <c r="B60">
        <v>7.3849220511114952E-4</v>
      </c>
    </row>
    <row r="61" spans="1:6" x14ac:dyDescent="0.45">
      <c r="A61" t="s">
        <v>129</v>
      </c>
      <c r="B61">
        <f>B20</f>
        <v>7.4816426239779853E-4</v>
      </c>
    </row>
    <row r="62" spans="1:6" x14ac:dyDescent="0.45">
      <c r="A62" t="s">
        <v>130</v>
      </c>
      <c r="B62">
        <f>B29</f>
        <v>6.8776546502079998E-4</v>
      </c>
    </row>
    <row r="63" spans="1:6" x14ac:dyDescent="0.45">
      <c r="A63" t="s">
        <v>131</v>
      </c>
      <c r="B63">
        <v>7.3233194324385999E-4</v>
      </c>
    </row>
    <row r="64" spans="1:6" x14ac:dyDescent="0.45">
      <c r="A64" t="s">
        <v>132</v>
      </c>
      <c r="B64">
        <f>B47</f>
        <v>7.1805691492291023E-4</v>
      </c>
    </row>
    <row r="66" spans="1:8" x14ac:dyDescent="0.45">
      <c r="A66" t="s">
        <v>133</v>
      </c>
      <c r="B66">
        <f>AVERAGE(B60:B64)</f>
        <v>7.2496215813930363E-4</v>
      </c>
    </row>
    <row r="67" spans="1:8" x14ac:dyDescent="0.45">
      <c r="B67" t="s">
        <v>135</v>
      </c>
      <c r="C67" t="s">
        <v>137</v>
      </c>
      <c r="E67" t="s">
        <v>136</v>
      </c>
      <c r="H67" t="s">
        <v>47</v>
      </c>
    </row>
    <row r="68" spans="1:8" x14ac:dyDescent="0.45">
      <c r="A68" t="s">
        <v>134</v>
      </c>
      <c r="B68">
        <f>B56/(B66*2.6)</f>
        <v>1.3169918181933148E-2</v>
      </c>
      <c r="F68" t="s">
        <v>138</v>
      </c>
      <c r="G68">
        <v>4.5999999999999996</v>
      </c>
      <c r="H68">
        <v>36.409999999999997</v>
      </c>
    </row>
    <row r="69" spans="1:8" x14ac:dyDescent="0.45">
      <c r="B69">
        <f>B56/(0.000748*2.6)</f>
        <v>1.2764294529000414E-2</v>
      </c>
      <c r="F69" t="s">
        <v>139</v>
      </c>
      <c r="G69">
        <v>4.5999999999999996</v>
      </c>
    </row>
    <row r="70" spans="1:8" x14ac:dyDescent="0.45">
      <c r="B70">
        <f>B57/(B63*2.6)</f>
        <v>1.1379225853797987E-2</v>
      </c>
      <c r="F70" t="s">
        <v>140</v>
      </c>
      <c r="G70">
        <v>5.5</v>
      </c>
    </row>
    <row r="71" spans="1:8" x14ac:dyDescent="0.45">
      <c r="F71" t="s">
        <v>141</v>
      </c>
      <c r="G71">
        <f>H68+(G69*G70*5/2)</f>
        <v>99.66</v>
      </c>
    </row>
    <row r="72" spans="1:8" x14ac:dyDescent="0.45">
      <c r="B72">
        <f>B70*10^4</f>
        <v>113.79225853797988</v>
      </c>
      <c r="D72" t="s">
        <v>127</v>
      </c>
      <c r="E72">
        <f>1-G71/110</f>
        <v>9.4000000000000083E-2</v>
      </c>
    </row>
    <row r="74" spans="1:8" x14ac:dyDescent="0.45">
      <c r="D74" t="s">
        <v>142</v>
      </c>
      <c r="E74">
        <f>0.05/0.7</f>
        <v>7.1428571428571438E-2</v>
      </c>
    </row>
    <row r="75" spans="1:8" x14ac:dyDescent="0.45">
      <c r="D75" t="s">
        <v>143</v>
      </c>
      <c r="E75">
        <f>B72*E74</f>
        <v>8.1280184669985633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 and error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Bhar</dc:creator>
  <cp:lastModifiedBy>Soham Bhar</cp:lastModifiedBy>
  <dcterms:created xsi:type="dcterms:W3CDTF">2026-04-12T04:01:30Z</dcterms:created>
  <dcterms:modified xsi:type="dcterms:W3CDTF">2026-04-15T15:01:36Z</dcterms:modified>
</cp:coreProperties>
</file>