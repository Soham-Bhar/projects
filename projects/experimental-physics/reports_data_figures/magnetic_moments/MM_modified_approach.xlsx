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M\"/>
    </mc:Choice>
  </mc:AlternateContent>
  <xr:revisionPtr revIDLastSave="0" documentId="13_ncr:1_{440DBDF6-FB5F-4BF8-BDB9-3DC71EE1CF31}" xr6:coauthVersionLast="47" xr6:coauthVersionMax="47" xr10:uidLastSave="{00000000-0000-0000-0000-000000000000}"/>
  <bookViews>
    <workbookView xWindow="-98" yWindow="-98" windowWidth="21795" windowHeight="12975" activeTab="1" xr2:uid="{0EC58CF8-2D83-42F1-A223-B9E630B8664F}"/>
  </bookViews>
  <sheets>
    <sheet name="exp1 &amp;exp2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  <c r="B10" i="2"/>
  <c r="F12" i="2"/>
  <c r="E12" i="2"/>
  <c r="F11" i="2"/>
  <c r="F10" i="2"/>
  <c r="E20" i="2"/>
  <c r="F20" i="2"/>
  <c r="F19" i="2"/>
  <c r="F18" i="2"/>
  <c r="I14" i="2"/>
  <c r="F9" i="2"/>
  <c r="F7" i="2"/>
  <c r="H53" i="1" a="1"/>
  <c r="H53" i="1" s="1"/>
  <c r="F17" i="2"/>
  <c r="F15" i="2"/>
  <c r="I6" i="1" a="1"/>
  <c r="I6" i="1" s="1"/>
  <c r="B18" i="2"/>
  <c r="B17" i="2"/>
  <c r="B16" i="2"/>
  <c r="G28" i="1" a="1"/>
  <c r="G28" i="1" s="1"/>
  <c r="B8" i="2"/>
  <c r="C3" i="2"/>
  <c r="A34" i="2" s="1"/>
  <c r="B6" i="2"/>
  <c r="E52" i="1" a="1"/>
  <c r="E52" i="1" s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33" i="1"/>
  <c r="A36" i="2"/>
  <c r="A37" i="2"/>
  <c r="A38" i="2"/>
  <c r="A39" i="2"/>
  <c r="A40" i="2"/>
  <c r="A41" i="2"/>
  <c r="A42" i="2"/>
  <c r="A43" i="2"/>
  <c r="A33" i="2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6" i="1"/>
  <c r="B7" i="2"/>
  <c r="E1" i="2"/>
  <c r="F1" i="2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6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33" i="1"/>
  <c r="A35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<sst xmlns="http://schemas.openxmlformats.org/spreadsheetml/2006/main" count="57" uniqueCount="44">
  <si>
    <t xml:space="preserve">modified approach </t>
  </si>
  <si>
    <t xml:space="preserve">dynamometer reading </t>
  </si>
  <si>
    <t xml:space="preserve">sample current </t>
  </si>
  <si>
    <t xml:space="preserve">helmholtz coil current </t>
  </si>
  <si>
    <t>rd1</t>
  </si>
  <si>
    <t>rd2</t>
  </si>
  <si>
    <t>rd3</t>
  </si>
  <si>
    <t xml:space="preserve">exp4 , 3 turns, large </t>
  </si>
  <si>
    <t>exp1, 3 turns, large</t>
  </si>
  <si>
    <t>avg</t>
  </si>
  <si>
    <t>torques (0.11*reading)</t>
  </si>
  <si>
    <t>torques (Nm)</t>
  </si>
  <si>
    <t xml:space="preserve">helmholtz coil radius = </t>
  </si>
  <si>
    <t>0.2 m</t>
  </si>
  <si>
    <t xml:space="preserve">theoretical value = </t>
  </si>
  <si>
    <t xml:space="preserve">mu naught= </t>
  </si>
  <si>
    <t>N=</t>
  </si>
  <si>
    <t>154 turns</t>
  </si>
  <si>
    <t xml:space="preserve">From exp1 </t>
  </si>
  <si>
    <t xml:space="preserve">slope = </t>
  </si>
  <si>
    <t xml:space="preserve">for sample </t>
  </si>
  <si>
    <t>n=3</t>
  </si>
  <si>
    <t>d=0.12</t>
  </si>
  <si>
    <t>IL= 4 A</t>
  </si>
  <si>
    <t>experimental c=</t>
  </si>
  <si>
    <t xml:space="preserve">Ih = </t>
  </si>
  <si>
    <t>2.6 A</t>
  </si>
  <si>
    <t>(in 10^3 Nm)</t>
  </si>
  <si>
    <t xml:space="preserve">theoretical value discrepencies </t>
  </si>
  <si>
    <t>delta squared from 0.2 val</t>
  </si>
  <si>
    <t>discrepency =</t>
  </si>
  <si>
    <t>discrepency=</t>
  </si>
  <si>
    <t>relative error in T=</t>
  </si>
  <si>
    <t>relative error in Il=</t>
  </si>
  <si>
    <t>from exp4</t>
  </si>
  <si>
    <t>error in k (relative)</t>
  </si>
  <si>
    <t>relative error in Ih=</t>
  </si>
  <si>
    <t>error in k (relative)=</t>
  </si>
  <si>
    <t>relative error in c=</t>
  </si>
  <si>
    <t>relative error in d=</t>
  </si>
  <si>
    <t xml:space="preserve">absolute error </t>
  </si>
  <si>
    <t>values (*10^4)</t>
  </si>
  <si>
    <t>absolute error=</t>
  </si>
  <si>
    <t>updated discrepency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</si>
</sst>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I_L</a:t>
            </a:r>
            <a:r>
              <a:rPr lang="en-IN" b="1" baseline="0"/>
              <a:t> vs T with error bars and best fit</a:t>
            </a:r>
            <a:endParaRPr lang="en-IN" b="1"/>
          </a:p>
        </c:rich>
      </c:tx>
      <c:layout>
        <c:manualLayout>
          <c:xMode val="edge"/>
          <c:yMode val="edge"/>
          <c:x val="0.10781749548533397"/>
          <c:y val="2.33712364488234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5.5466468505148976E-2"/>
          <c:y val="0.154790652514704"/>
          <c:w val="0.89218114438276452"/>
          <c:h val="0.76004857616011123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8.4756743454254768E-2"/>
                  <c:y val="-0.164146388538560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fixedVal"/>
            <c:noEndCap val="0"/>
            <c:val val="1.0000000000000002E-2"/>
            <c:spPr>
              <a:noFill/>
              <a:ln w="666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'exp1 &amp;exp2'!$B$6:$B$26</c:f>
              <c:numCache>
                <c:formatCode>General</c:formatCode>
                <c:ptCount val="21"/>
                <c:pt idx="0">
                  <c:v>3.3E-4</c:v>
                </c:pt>
                <c:pt idx="1">
                  <c:v>2.9700000000000006E-4</c:v>
                </c:pt>
                <c:pt idx="2">
                  <c:v>2.6400000000000002E-4</c:v>
                </c:pt>
                <c:pt idx="3">
                  <c:v>2.31E-4</c:v>
                </c:pt>
                <c:pt idx="4">
                  <c:v>1.9800000000000002E-4</c:v>
                </c:pt>
                <c:pt idx="5">
                  <c:v>1.65E-4</c:v>
                </c:pt>
                <c:pt idx="6">
                  <c:v>1.3200000000000001E-4</c:v>
                </c:pt>
                <c:pt idx="7">
                  <c:v>9.9000000000000008E-5</c:v>
                </c:pt>
                <c:pt idx="8">
                  <c:v>6.6000000000000005E-5</c:v>
                </c:pt>
                <c:pt idx="9">
                  <c:v>3.3000000000000003E-5</c:v>
                </c:pt>
                <c:pt idx="10">
                  <c:v>0</c:v>
                </c:pt>
                <c:pt idx="11">
                  <c:v>-3.3000000000000003E-5</c:v>
                </c:pt>
                <c:pt idx="12">
                  <c:v>-6.6000000000000005E-5</c:v>
                </c:pt>
                <c:pt idx="13">
                  <c:v>-9.9000000000000008E-5</c:v>
                </c:pt>
                <c:pt idx="14">
                  <c:v>-1.3200000000000001E-4</c:v>
                </c:pt>
                <c:pt idx="15">
                  <c:v>-1.65E-4</c:v>
                </c:pt>
                <c:pt idx="16">
                  <c:v>-1.9800000000000002E-4</c:v>
                </c:pt>
                <c:pt idx="17">
                  <c:v>-2.31E-4</c:v>
                </c:pt>
                <c:pt idx="18">
                  <c:v>-2.6400000000000002E-4</c:v>
                </c:pt>
                <c:pt idx="19">
                  <c:v>-2.9700000000000006E-4</c:v>
                </c:pt>
                <c:pt idx="20">
                  <c:v>-3.3E-4</c:v>
                </c:pt>
              </c:numCache>
            </c:numRef>
          </c:xVal>
          <c:yVal>
            <c:numRef>
              <c:f>'exp1 &amp;exp2'!$H$6:$H$26</c:f>
              <c:numCache>
                <c:formatCode>General</c:formatCode>
                <c:ptCount val="21"/>
                <c:pt idx="0">
                  <c:v>5.166666666666667</c:v>
                </c:pt>
                <c:pt idx="1">
                  <c:v>4.6900000000000004</c:v>
                </c:pt>
                <c:pt idx="2">
                  <c:v>4.1133333333333333</c:v>
                </c:pt>
                <c:pt idx="3">
                  <c:v>3.6166666666666667</c:v>
                </c:pt>
                <c:pt idx="4">
                  <c:v>3.0133333333333332</c:v>
                </c:pt>
                <c:pt idx="5">
                  <c:v>2.4733333333333332</c:v>
                </c:pt>
                <c:pt idx="6">
                  <c:v>1.9266666666666665</c:v>
                </c:pt>
                <c:pt idx="7">
                  <c:v>1.4033333333333331</c:v>
                </c:pt>
                <c:pt idx="8">
                  <c:v>0.91666666666666663</c:v>
                </c:pt>
                <c:pt idx="9">
                  <c:v>0.38999999999999996</c:v>
                </c:pt>
                <c:pt idx="10">
                  <c:v>1.6666666666666666E-2</c:v>
                </c:pt>
                <c:pt idx="11">
                  <c:v>-0.56999999999999995</c:v>
                </c:pt>
                <c:pt idx="12">
                  <c:v>-1.0233333333333334</c:v>
                </c:pt>
                <c:pt idx="13">
                  <c:v>-1.58</c:v>
                </c:pt>
                <c:pt idx="14">
                  <c:v>-2.09</c:v>
                </c:pt>
                <c:pt idx="15">
                  <c:v>-2.5266666666666668</c:v>
                </c:pt>
                <c:pt idx="16">
                  <c:v>-3.0466666666666664</c:v>
                </c:pt>
                <c:pt idx="17">
                  <c:v>-3.58</c:v>
                </c:pt>
                <c:pt idx="18">
                  <c:v>-4.1033333333333335</c:v>
                </c:pt>
                <c:pt idx="19">
                  <c:v>-4.5466666666666669</c:v>
                </c:pt>
                <c:pt idx="20">
                  <c:v>-5.12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B8-43E7-BD04-04984E6F9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670207"/>
        <c:axId val="671670687"/>
      </c:scatterChart>
      <c:valAx>
        <c:axId val="67167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Torque</a:t>
                </a:r>
                <a:r>
                  <a:rPr lang="en-IN" b="1" baseline="0"/>
                  <a:t> T (in Nm)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50264225087896219"/>
              <c:y val="0.910237974564184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670687"/>
        <c:crosses val="autoZero"/>
        <c:crossBetween val="midCat"/>
      </c:valAx>
      <c:valAx>
        <c:axId val="67167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 Coil</a:t>
                </a:r>
                <a:r>
                  <a:rPr lang="en-IN" b="1" baseline="0"/>
                  <a:t> Current I_L (in A)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5.5148338696801935E-3"/>
              <c:y val="0.121619411605238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67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I_H</a:t>
            </a:r>
            <a:r>
              <a:rPr lang="en-IN" b="1" baseline="0"/>
              <a:t> vs T with best fit and error bars</a:t>
            </a:r>
            <a:endParaRPr lang="en-IN" b="1"/>
          </a:p>
        </c:rich>
      </c:tx>
      <c:layout>
        <c:manualLayout>
          <c:xMode val="edge"/>
          <c:yMode val="edge"/>
          <c:x val="6.0146976038913467E-2"/>
          <c:y val="3.2704684789746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5.5417437134121388E-2"/>
          <c:y val="0.14948284393106837"/>
          <c:w val="0.89299199647194627"/>
          <c:h val="0.789004945434432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7.1098228671911248E-2"/>
                  <c:y val="-0.140128835815354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fixedVal"/>
            <c:noEndCap val="0"/>
            <c:val val="1.0000000000000002E-2"/>
            <c:spPr>
              <a:noFill/>
              <a:ln w="730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'exp1 &amp;exp2'!$B$33:$B$49</c:f>
              <c:numCache>
                <c:formatCode>General</c:formatCode>
                <c:ptCount val="17"/>
                <c:pt idx="0">
                  <c:v>2.6400000000000002E-4</c:v>
                </c:pt>
                <c:pt idx="1">
                  <c:v>2.31E-4</c:v>
                </c:pt>
                <c:pt idx="2">
                  <c:v>1.9800000000000002E-4</c:v>
                </c:pt>
                <c:pt idx="3">
                  <c:v>1.65E-4</c:v>
                </c:pt>
                <c:pt idx="4">
                  <c:v>1.3200000000000001E-4</c:v>
                </c:pt>
                <c:pt idx="5">
                  <c:v>9.9000000000000008E-5</c:v>
                </c:pt>
                <c:pt idx="6">
                  <c:v>6.6000000000000005E-5</c:v>
                </c:pt>
                <c:pt idx="7">
                  <c:v>3.3000000000000003E-5</c:v>
                </c:pt>
                <c:pt idx="8">
                  <c:v>0</c:v>
                </c:pt>
                <c:pt idx="9">
                  <c:v>-3.3000000000000003E-5</c:v>
                </c:pt>
                <c:pt idx="10">
                  <c:v>-6.6000000000000005E-5</c:v>
                </c:pt>
                <c:pt idx="11">
                  <c:v>-9.9000000000000008E-5</c:v>
                </c:pt>
                <c:pt idx="12">
                  <c:v>-1.3200000000000001E-4</c:v>
                </c:pt>
                <c:pt idx="13">
                  <c:v>-1.65E-4</c:v>
                </c:pt>
                <c:pt idx="14">
                  <c:v>-1.9800000000000002E-4</c:v>
                </c:pt>
                <c:pt idx="15">
                  <c:v>-2.31E-4</c:v>
                </c:pt>
                <c:pt idx="16">
                  <c:v>-2.6400000000000002E-4</c:v>
                </c:pt>
              </c:numCache>
            </c:numRef>
          </c:xVal>
          <c:yVal>
            <c:numRef>
              <c:f>'exp1 &amp;exp2'!$H$33:$H$49</c:f>
              <c:numCache>
                <c:formatCode>General</c:formatCode>
                <c:ptCount val="17"/>
                <c:pt idx="0">
                  <c:v>2.6999999999999997</c:v>
                </c:pt>
                <c:pt idx="1">
                  <c:v>2.3033333333333332</c:v>
                </c:pt>
                <c:pt idx="2">
                  <c:v>2.0033333333333334</c:v>
                </c:pt>
                <c:pt idx="3">
                  <c:v>1.6233333333333333</c:v>
                </c:pt>
                <c:pt idx="4">
                  <c:v>1.3066666666666669</c:v>
                </c:pt>
                <c:pt idx="5">
                  <c:v>0.96333333333333326</c:v>
                </c:pt>
                <c:pt idx="6">
                  <c:v>0.62666666666666659</c:v>
                </c:pt>
                <c:pt idx="7">
                  <c:v>0.32</c:v>
                </c:pt>
                <c:pt idx="8">
                  <c:v>3.3333333333333335E-3</c:v>
                </c:pt>
                <c:pt idx="9">
                  <c:v>-0.31333333333333335</c:v>
                </c:pt>
                <c:pt idx="10">
                  <c:v>-0.66</c:v>
                </c:pt>
                <c:pt idx="11">
                  <c:v>-0.96</c:v>
                </c:pt>
                <c:pt idx="12">
                  <c:v>-1.2966666666666666</c:v>
                </c:pt>
                <c:pt idx="13">
                  <c:v>-1.6333333333333335</c:v>
                </c:pt>
                <c:pt idx="14">
                  <c:v>-1.9766666666666666</c:v>
                </c:pt>
                <c:pt idx="15">
                  <c:v>-2.3000000000000003</c:v>
                </c:pt>
                <c:pt idx="16">
                  <c:v>-2.6199999999999997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5C-4AFB-831E-8E08644D2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677407"/>
        <c:axId val="671677887"/>
      </c:scatterChart>
      <c:valAx>
        <c:axId val="67167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Torque, T</a:t>
                </a:r>
                <a:r>
                  <a:rPr lang="en-IN" b="1" baseline="0"/>
                  <a:t> (in Nm)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47754223634590937"/>
              <c:y val="0.92890502440439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677887"/>
        <c:crosses val="autoZero"/>
        <c:crossBetween val="midCat"/>
      </c:valAx>
      <c:valAx>
        <c:axId val="67167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I_H</a:t>
                </a:r>
                <a:r>
                  <a:rPr lang="en-IN" b="1" baseline="0"/>
                  <a:t> (in A)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7.4376131911751485E-6"/>
              <c:y val="0.257284364863977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677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231675</xdr:colOff>
      <xdr:row>9</xdr:row>
      <xdr:rowOff>70743</xdr:rowOff>
    </xdr:from>
    <xdr:to>
      <xdr:col>13</xdr:col>
      <xdr:colOff>345582</xdr:colOff>
      <xdr:row>24</xdr:row>
      <xdr:rowOff>89008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18924C-9FA8-F3BC-A37D-E8912E2BC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718312</xdr:colOff>
      <xdr:row>33</xdr:row>
      <xdr:rowOff>17212</xdr:rowOff>
    </xdr:from>
    <xdr:to>
      <xdr:col>12</xdr:col>
      <xdr:colOff>832220</xdr:colOff>
      <xdr:row>48</xdr:row>
      <xdr:rowOff>35477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C7F7B5-C77A-35E0-C15A-00F77C069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C129-9637-45AD-9862-3BE14F2D64AD}">
  <dimension ref="A2:I53"/>
  <sheetViews>
    <sheetView topLeftCell="B1" zoomScale="84" workbookViewId="0">
      <selection activeCell="N14" sqref="N14"/>
    </sheetView>
  </sheetViews>
  <sheetFormatPr defaultColWidth="15.59765625" defaultRowHeight="14.25" x14ac:dyDescent="0.45"/>
  <sheetData>
    <row r="2" spans="1:9" x14ac:dyDescent="0.45">
      <c r="A2" t="s">
        <v>0</v>
      </c>
    </row>
    <row r="3" spans="1:9" x14ac:dyDescent="0.45">
      <c r="A3" t="s">
        <v>7</v>
      </c>
    </row>
    <row r="4" spans="1:9" x14ac:dyDescent="0.45">
      <c r="A4" t="s">
        <v>1</v>
      </c>
      <c r="B4" t="s">
        <v>10</v>
      </c>
      <c r="C4" t="s">
        <v>3</v>
      </c>
      <c r="D4" t="s">
        <v>2</v>
      </c>
    </row>
    <row r="5" spans="1:9" x14ac:dyDescent="0.45">
      <c r="D5" t="s">
        <v>4</v>
      </c>
      <c r="E5" t="s">
        <v>5</v>
      </c>
      <c r="F5" t="s">
        <v>6</v>
      </c>
      <c r="H5" t="s">
        <v>9</v>
      </c>
    </row>
    <row r="6" spans="1:9" x14ac:dyDescent="0.45">
      <c r="A6">
        <v>3</v>
      </c>
      <c r="B6">
        <f>0.11*A6/1000</f>
        <v>3.3E-4</v>
      </c>
      <c r="C6">
        <v>2.6</v>
      </c>
      <c r="D6">
        <v>5.19</v>
      </c>
      <c r="E6">
        <v>5.19</v>
      </c>
      <c r="F6">
        <v>5.12</v>
      </c>
      <c r="H6">
        <f>AVERAGE(D6:F6)</f>
        <v>5.166666666666667</v>
      </c>
      <c r="I6" cm="1">
        <f t="array" ref="I6">AVERAGE(ABS(H6:H26))</f>
        <v>2.6625396825396819</v>
      </c>
    </row>
    <row r="7" spans="1:9" x14ac:dyDescent="0.45">
      <c r="A7">
        <v>2.7</v>
      </c>
      <c r="B7">
        <f t="shared" ref="B7:B26" si="0">0.11*A7/1000</f>
        <v>2.9700000000000006E-4</v>
      </c>
      <c r="C7">
        <v>2.59</v>
      </c>
      <c r="D7">
        <v>4.71</v>
      </c>
      <c r="E7">
        <v>4.6900000000000004</v>
      </c>
      <c r="F7">
        <v>4.67</v>
      </c>
      <c r="H7">
        <f t="shared" ref="H7:H26" si="1">AVERAGE(D7:F7)</f>
        <v>4.6900000000000004</v>
      </c>
    </row>
    <row r="8" spans="1:9" x14ac:dyDescent="0.45">
      <c r="A8">
        <v>2.4</v>
      </c>
      <c r="B8">
        <f t="shared" si="0"/>
        <v>2.6400000000000002E-4</v>
      </c>
      <c r="C8">
        <v>2.59</v>
      </c>
      <c r="D8">
        <v>4.1500000000000004</v>
      </c>
      <c r="E8">
        <v>4.13</v>
      </c>
      <c r="F8">
        <v>4.0599999999999996</v>
      </c>
      <c r="H8">
        <f t="shared" si="1"/>
        <v>4.1133333333333333</v>
      </c>
    </row>
    <row r="9" spans="1:9" x14ac:dyDescent="0.45">
      <c r="A9">
        <v>2.1</v>
      </c>
      <c r="B9">
        <f t="shared" si="0"/>
        <v>2.31E-4</v>
      </c>
      <c r="C9">
        <v>2.61</v>
      </c>
      <c r="D9">
        <v>3.6</v>
      </c>
      <c r="E9">
        <v>3.68</v>
      </c>
      <c r="F9">
        <v>3.57</v>
      </c>
      <c r="H9">
        <f t="shared" si="1"/>
        <v>3.6166666666666667</v>
      </c>
    </row>
    <row r="10" spans="1:9" x14ac:dyDescent="0.45">
      <c r="A10">
        <v>1.8</v>
      </c>
      <c r="B10">
        <f t="shared" si="0"/>
        <v>1.9800000000000002E-4</v>
      </c>
      <c r="C10">
        <v>2.6</v>
      </c>
      <c r="D10">
        <v>2.96</v>
      </c>
      <c r="E10">
        <v>3.07</v>
      </c>
      <c r="F10">
        <v>3.01</v>
      </c>
      <c r="H10">
        <f t="shared" si="1"/>
        <v>3.0133333333333332</v>
      </c>
    </row>
    <row r="11" spans="1:9" x14ac:dyDescent="0.45">
      <c r="A11">
        <v>1.5</v>
      </c>
      <c r="B11">
        <f t="shared" si="0"/>
        <v>1.65E-4</v>
      </c>
      <c r="C11">
        <v>2.61</v>
      </c>
      <c r="D11">
        <v>2.4300000000000002</v>
      </c>
      <c r="E11">
        <v>2.5099999999999998</v>
      </c>
      <c r="F11">
        <v>2.48</v>
      </c>
      <c r="H11">
        <f t="shared" si="1"/>
        <v>2.4733333333333332</v>
      </c>
    </row>
    <row r="12" spans="1:9" x14ac:dyDescent="0.45">
      <c r="A12">
        <v>1.2</v>
      </c>
      <c r="B12">
        <f t="shared" si="0"/>
        <v>1.3200000000000001E-4</v>
      </c>
      <c r="C12">
        <v>2.6</v>
      </c>
      <c r="D12">
        <v>1.9</v>
      </c>
      <c r="E12">
        <v>1.91</v>
      </c>
      <c r="F12">
        <v>1.97</v>
      </c>
      <c r="H12">
        <f t="shared" si="1"/>
        <v>1.9266666666666665</v>
      </c>
    </row>
    <row r="13" spans="1:9" x14ac:dyDescent="0.45">
      <c r="A13">
        <v>0.9</v>
      </c>
      <c r="B13">
        <f t="shared" si="0"/>
        <v>9.9000000000000008E-5</v>
      </c>
      <c r="C13">
        <v>2.6</v>
      </c>
      <c r="D13">
        <v>1.42</v>
      </c>
      <c r="E13">
        <v>1.39</v>
      </c>
      <c r="F13">
        <v>1.4</v>
      </c>
      <c r="H13">
        <f t="shared" si="1"/>
        <v>1.4033333333333331</v>
      </c>
    </row>
    <row r="14" spans="1:9" x14ac:dyDescent="0.45">
      <c r="A14">
        <v>0.6</v>
      </c>
      <c r="B14">
        <f t="shared" si="0"/>
        <v>6.6000000000000005E-5</v>
      </c>
      <c r="C14">
        <v>2.6</v>
      </c>
      <c r="D14">
        <v>0.93</v>
      </c>
      <c r="E14">
        <v>0.93</v>
      </c>
      <c r="F14">
        <v>0.89</v>
      </c>
      <c r="H14">
        <f t="shared" si="1"/>
        <v>0.91666666666666663</v>
      </c>
    </row>
    <row r="15" spans="1:9" x14ac:dyDescent="0.45">
      <c r="A15">
        <v>0.3</v>
      </c>
      <c r="B15">
        <f t="shared" si="0"/>
        <v>3.3000000000000003E-5</v>
      </c>
      <c r="C15">
        <v>2.59</v>
      </c>
      <c r="D15">
        <v>0.41</v>
      </c>
      <c r="E15">
        <v>0.4</v>
      </c>
      <c r="F15">
        <v>0.36</v>
      </c>
      <c r="H15">
        <f t="shared" si="1"/>
        <v>0.38999999999999996</v>
      </c>
    </row>
    <row r="16" spans="1:9" x14ac:dyDescent="0.45">
      <c r="A16">
        <v>0</v>
      </c>
      <c r="B16">
        <f t="shared" si="0"/>
        <v>0</v>
      </c>
      <c r="C16">
        <v>2.59</v>
      </c>
      <c r="D16">
        <v>-0.05</v>
      </c>
      <c r="E16">
        <v>0.05</v>
      </c>
      <c r="F16">
        <v>0.05</v>
      </c>
      <c r="H16">
        <f t="shared" si="1"/>
        <v>1.6666666666666666E-2</v>
      </c>
    </row>
    <row r="17" spans="1:8" x14ac:dyDescent="0.45">
      <c r="A17">
        <v>-0.3</v>
      </c>
      <c r="B17">
        <f t="shared" si="0"/>
        <v>-3.3000000000000003E-5</v>
      </c>
      <c r="C17">
        <v>2.58</v>
      </c>
      <c r="D17">
        <v>-0.57999999999999996</v>
      </c>
      <c r="E17">
        <v>-0.56999999999999995</v>
      </c>
      <c r="F17">
        <v>-0.56000000000000005</v>
      </c>
      <c r="H17">
        <f t="shared" si="1"/>
        <v>-0.56999999999999995</v>
      </c>
    </row>
    <row r="18" spans="1:8" x14ac:dyDescent="0.45">
      <c r="A18">
        <v>-0.6</v>
      </c>
      <c r="B18">
        <f t="shared" si="0"/>
        <v>-6.6000000000000005E-5</v>
      </c>
      <c r="C18">
        <v>2.59</v>
      </c>
      <c r="D18">
        <v>-1.04</v>
      </c>
      <c r="E18">
        <v>-0.99</v>
      </c>
      <c r="F18">
        <v>-1.04</v>
      </c>
      <c r="H18">
        <f t="shared" si="1"/>
        <v>-1.0233333333333334</v>
      </c>
    </row>
    <row r="19" spans="1:8" x14ac:dyDescent="0.45">
      <c r="A19">
        <v>-0.9</v>
      </c>
      <c r="B19">
        <f t="shared" si="0"/>
        <v>-9.9000000000000008E-5</v>
      </c>
      <c r="C19">
        <v>2.58</v>
      </c>
      <c r="D19">
        <v>-1.61</v>
      </c>
      <c r="E19">
        <v>-1.54</v>
      </c>
      <c r="F19">
        <v>-1.59</v>
      </c>
      <c r="H19">
        <f t="shared" si="1"/>
        <v>-1.58</v>
      </c>
    </row>
    <row r="20" spans="1:8" x14ac:dyDescent="0.45">
      <c r="A20">
        <v>-1.2</v>
      </c>
      <c r="B20">
        <f t="shared" si="0"/>
        <v>-1.3200000000000001E-4</v>
      </c>
      <c r="C20">
        <v>2.58</v>
      </c>
      <c r="D20">
        <v>-2.12</v>
      </c>
      <c r="E20">
        <v>-2.0699999999999998</v>
      </c>
      <c r="F20">
        <v>-2.08</v>
      </c>
      <c r="H20">
        <f t="shared" si="1"/>
        <v>-2.09</v>
      </c>
    </row>
    <row r="21" spans="1:8" x14ac:dyDescent="0.45">
      <c r="A21">
        <v>-1.5</v>
      </c>
      <c r="B21">
        <f t="shared" si="0"/>
        <v>-1.65E-4</v>
      </c>
      <c r="C21">
        <v>2.57</v>
      </c>
      <c r="D21">
        <v>-2.57</v>
      </c>
      <c r="E21">
        <v>-2.4900000000000002</v>
      </c>
      <c r="F21">
        <v>-2.52</v>
      </c>
      <c r="H21">
        <f t="shared" si="1"/>
        <v>-2.5266666666666668</v>
      </c>
    </row>
    <row r="22" spans="1:8" x14ac:dyDescent="0.45">
      <c r="A22">
        <v>-1.8</v>
      </c>
      <c r="B22">
        <f t="shared" si="0"/>
        <v>-1.9800000000000002E-4</v>
      </c>
      <c r="C22">
        <v>2.57</v>
      </c>
      <c r="D22">
        <v>-3.01</v>
      </c>
      <c r="E22">
        <v>-3.1</v>
      </c>
      <c r="F22">
        <v>-3.03</v>
      </c>
      <c r="H22">
        <f t="shared" si="1"/>
        <v>-3.0466666666666664</v>
      </c>
    </row>
    <row r="23" spans="1:8" x14ac:dyDescent="0.45">
      <c r="A23">
        <v>-2.1</v>
      </c>
      <c r="B23">
        <f t="shared" si="0"/>
        <v>-2.31E-4</v>
      </c>
      <c r="C23">
        <v>2.57</v>
      </c>
      <c r="D23">
        <v>-3.56</v>
      </c>
      <c r="E23">
        <v>-3.61</v>
      </c>
      <c r="F23">
        <v>-3.57</v>
      </c>
      <c r="H23">
        <f t="shared" si="1"/>
        <v>-3.58</v>
      </c>
    </row>
    <row r="24" spans="1:8" x14ac:dyDescent="0.45">
      <c r="A24">
        <v>-2.4</v>
      </c>
      <c r="B24">
        <f t="shared" si="0"/>
        <v>-2.6400000000000002E-4</v>
      </c>
      <c r="C24">
        <v>2.57</v>
      </c>
      <c r="D24">
        <v>-4.1100000000000003</v>
      </c>
      <c r="E24">
        <v>-4.12</v>
      </c>
      <c r="F24">
        <v>-4.08</v>
      </c>
      <c r="H24">
        <f t="shared" si="1"/>
        <v>-4.1033333333333335</v>
      </c>
    </row>
    <row r="25" spans="1:8" x14ac:dyDescent="0.45">
      <c r="A25">
        <v>-2.7</v>
      </c>
      <c r="B25">
        <f t="shared" si="0"/>
        <v>-2.9700000000000006E-4</v>
      </c>
      <c r="C25">
        <v>2.57</v>
      </c>
      <c r="D25">
        <v>-4.54</v>
      </c>
      <c r="E25">
        <v>-4.55</v>
      </c>
      <c r="F25">
        <v>-4.55</v>
      </c>
      <c r="H25">
        <f t="shared" si="1"/>
        <v>-4.5466666666666669</v>
      </c>
    </row>
    <row r="26" spans="1:8" x14ac:dyDescent="0.45">
      <c r="A26">
        <v>-3</v>
      </c>
      <c r="B26">
        <f t="shared" si="0"/>
        <v>-3.3E-4</v>
      </c>
      <c r="C26">
        <v>2.57</v>
      </c>
      <c r="D26">
        <v>-5.17</v>
      </c>
      <c r="E26">
        <v>-5.07</v>
      </c>
      <c r="F26">
        <v>-5.12</v>
      </c>
      <c r="H26">
        <f t="shared" si="1"/>
        <v>-5.12</v>
      </c>
    </row>
    <row r="28" spans="1:8" x14ac:dyDescent="0.45">
      <c r="A28" t="s">
        <v>8</v>
      </c>
      <c r="G28" cm="1">
        <f t="array" ref="G28:H28">LINEST(H6:H26,B6:B26)</f>
        <v>15479.076479076477</v>
      </c>
      <c r="H28">
        <v>-2.1904761904762322E-2</v>
      </c>
    </row>
    <row r="30" spans="1:8" x14ac:dyDescent="0.45">
      <c r="A30" t="s">
        <v>1</v>
      </c>
      <c r="B30" t="s">
        <v>11</v>
      </c>
      <c r="C30" t="s">
        <v>2</v>
      </c>
      <c r="D30" t="s">
        <v>3</v>
      </c>
    </row>
    <row r="31" spans="1:8" x14ac:dyDescent="0.45">
      <c r="D31" t="s">
        <v>4</v>
      </c>
      <c r="E31" t="s">
        <v>5</v>
      </c>
      <c r="F31" t="s">
        <v>6</v>
      </c>
    </row>
    <row r="32" spans="1:8" x14ac:dyDescent="0.45">
      <c r="H32" t="s">
        <v>9</v>
      </c>
    </row>
    <row r="33" spans="1:8" x14ac:dyDescent="0.45">
      <c r="A33">
        <v>2.4</v>
      </c>
      <c r="B33">
        <f>0.11*A33/1000</f>
        <v>2.6400000000000002E-4</v>
      </c>
      <c r="C33">
        <v>4</v>
      </c>
      <c r="D33">
        <v>2.67</v>
      </c>
      <c r="E33">
        <v>2.71</v>
      </c>
      <c r="F33">
        <v>2.72</v>
      </c>
      <c r="H33">
        <f>AVERAGE(D33:F33)</f>
        <v>2.6999999999999997</v>
      </c>
    </row>
    <row r="34" spans="1:8" x14ac:dyDescent="0.45">
      <c r="A34">
        <v>2.1</v>
      </c>
      <c r="B34">
        <f t="shared" ref="B34:B49" si="2">0.11*A34/1000</f>
        <v>2.31E-4</v>
      </c>
      <c r="C34">
        <v>4</v>
      </c>
      <c r="D34">
        <v>2.33</v>
      </c>
      <c r="E34">
        <v>2.27</v>
      </c>
      <c r="F34">
        <v>2.31</v>
      </c>
      <c r="H34">
        <f t="shared" ref="H34:H49" si="3">AVERAGE(D34:F34)</f>
        <v>2.3033333333333332</v>
      </c>
    </row>
    <row r="35" spans="1:8" x14ac:dyDescent="0.45">
      <c r="A35">
        <v>1.8</v>
      </c>
      <c r="B35">
        <f t="shared" si="2"/>
        <v>1.9800000000000002E-4</v>
      </c>
      <c r="C35">
        <v>3.99</v>
      </c>
      <c r="D35">
        <v>1.99</v>
      </c>
      <c r="E35">
        <v>2.0099999999999998</v>
      </c>
      <c r="F35">
        <v>2.0099999999999998</v>
      </c>
      <c r="H35">
        <f t="shared" si="3"/>
        <v>2.0033333333333334</v>
      </c>
    </row>
    <row r="36" spans="1:8" x14ac:dyDescent="0.45">
      <c r="A36">
        <v>1.5</v>
      </c>
      <c r="B36">
        <f t="shared" si="2"/>
        <v>1.65E-4</v>
      </c>
      <c r="C36">
        <v>4</v>
      </c>
      <c r="D36">
        <v>1.63</v>
      </c>
      <c r="E36">
        <v>1.61</v>
      </c>
      <c r="F36">
        <v>1.63</v>
      </c>
      <c r="H36">
        <f t="shared" si="3"/>
        <v>1.6233333333333333</v>
      </c>
    </row>
    <row r="37" spans="1:8" x14ac:dyDescent="0.45">
      <c r="A37">
        <v>1.2</v>
      </c>
      <c r="B37">
        <f t="shared" si="2"/>
        <v>1.3200000000000001E-4</v>
      </c>
      <c r="C37">
        <v>3.99</v>
      </c>
      <c r="D37">
        <v>1.32</v>
      </c>
      <c r="E37">
        <v>1.29</v>
      </c>
      <c r="F37">
        <v>1.31</v>
      </c>
      <c r="H37">
        <f t="shared" si="3"/>
        <v>1.3066666666666669</v>
      </c>
    </row>
    <row r="38" spans="1:8" x14ac:dyDescent="0.45">
      <c r="A38">
        <v>0.9</v>
      </c>
      <c r="B38">
        <f t="shared" si="2"/>
        <v>9.9000000000000008E-5</v>
      </c>
      <c r="C38">
        <v>4</v>
      </c>
      <c r="D38">
        <v>0.97</v>
      </c>
      <c r="E38">
        <v>0.95</v>
      </c>
      <c r="F38">
        <v>0.97</v>
      </c>
      <c r="H38">
        <f t="shared" si="3"/>
        <v>0.96333333333333326</v>
      </c>
    </row>
    <row r="39" spans="1:8" x14ac:dyDescent="0.45">
      <c r="A39">
        <v>0.6</v>
      </c>
      <c r="B39">
        <f t="shared" si="2"/>
        <v>6.6000000000000005E-5</v>
      </c>
      <c r="C39">
        <v>4</v>
      </c>
      <c r="D39">
        <v>0.57999999999999996</v>
      </c>
      <c r="E39">
        <v>0.64</v>
      </c>
      <c r="F39">
        <v>0.66</v>
      </c>
      <c r="H39">
        <f t="shared" si="3"/>
        <v>0.62666666666666659</v>
      </c>
    </row>
    <row r="40" spans="1:8" x14ac:dyDescent="0.45">
      <c r="A40">
        <v>0.3</v>
      </c>
      <c r="B40">
        <f t="shared" si="2"/>
        <v>3.3000000000000003E-5</v>
      </c>
      <c r="C40">
        <v>4</v>
      </c>
      <c r="D40">
        <v>0.28999999999999998</v>
      </c>
      <c r="E40">
        <v>0.33</v>
      </c>
      <c r="F40">
        <v>0.34</v>
      </c>
      <c r="H40">
        <f t="shared" si="3"/>
        <v>0.32</v>
      </c>
    </row>
    <row r="41" spans="1:8" x14ac:dyDescent="0.45">
      <c r="A41">
        <v>0</v>
      </c>
      <c r="B41">
        <f t="shared" si="2"/>
        <v>0</v>
      </c>
      <c r="C41">
        <v>4</v>
      </c>
      <c r="D41">
        <v>0.01</v>
      </c>
      <c r="E41">
        <v>0</v>
      </c>
      <c r="F41">
        <v>0</v>
      </c>
      <c r="H41">
        <f t="shared" si="3"/>
        <v>3.3333333333333335E-3</v>
      </c>
    </row>
    <row r="42" spans="1:8" x14ac:dyDescent="0.45">
      <c r="A42">
        <v>-0.3</v>
      </c>
      <c r="B42">
        <f t="shared" si="2"/>
        <v>-3.3000000000000003E-5</v>
      </c>
      <c r="C42">
        <v>3.99</v>
      </c>
      <c r="D42">
        <v>-0.31</v>
      </c>
      <c r="E42">
        <v>-0.28000000000000003</v>
      </c>
      <c r="F42">
        <v>-0.35</v>
      </c>
      <c r="H42">
        <f t="shared" si="3"/>
        <v>-0.31333333333333335</v>
      </c>
    </row>
    <row r="43" spans="1:8" x14ac:dyDescent="0.45">
      <c r="A43">
        <v>-0.6</v>
      </c>
      <c r="B43">
        <f t="shared" si="2"/>
        <v>-6.6000000000000005E-5</v>
      </c>
      <c r="C43">
        <v>3.99</v>
      </c>
      <c r="D43">
        <v>-0.66</v>
      </c>
      <c r="E43">
        <v>-0.63</v>
      </c>
      <c r="F43">
        <v>-0.69</v>
      </c>
      <c r="H43">
        <f t="shared" si="3"/>
        <v>-0.66</v>
      </c>
    </row>
    <row r="44" spans="1:8" x14ac:dyDescent="0.45">
      <c r="A44">
        <v>-0.9</v>
      </c>
      <c r="B44">
        <f t="shared" si="2"/>
        <v>-9.9000000000000008E-5</v>
      </c>
      <c r="C44">
        <v>4</v>
      </c>
      <c r="D44">
        <v>-0.99</v>
      </c>
      <c r="E44">
        <v>-0.96</v>
      </c>
      <c r="F44">
        <v>-0.93</v>
      </c>
      <c r="H44">
        <f t="shared" si="3"/>
        <v>-0.96</v>
      </c>
    </row>
    <row r="45" spans="1:8" x14ac:dyDescent="0.45">
      <c r="A45">
        <v>-1.2</v>
      </c>
      <c r="B45">
        <f t="shared" si="2"/>
        <v>-1.3200000000000001E-4</v>
      </c>
      <c r="C45">
        <v>3.99</v>
      </c>
      <c r="D45">
        <v>-1.31</v>
      </c>
      <c r="E45">
        <v>-1.29</v>
      </c>
      <c r="F45">
        <v>-1.29</v>
      </c>
      <c r="H45">
        <f t="shared" si="3"/>
        <v>-1.2966666666666666</v>
      </c>
    </row>
    <row r="46" spans="1:8" x14ac:dyDescent="0.45">
      <c r="A46">
        <v>-1.5</v>
      </c>
      <c r="B46">
        <f t="shared" si="2"/>
        <v>-1.65E-4</v>
      </c>
      <c r="C46">
        <v>3.99</v>
      </c>
      <c r="D46">
        <v>-1.66</v>
      </c>
      <c r="E46">
        <v>-1.61</v>
      </c>
      <c r="F46">
        <v>-1.63</v>
      </c>
      <c r="H46">
        <f t="shared" si="3"/>
        <v>-1.6333333333333335</v>
      </c>
    </row>
    <row r="47" spans="1:8" x14ac:dyDescent="0.45">
      <c r="A47">
        <v>-1.8</v>
      </c>
      <c r="B47">
        <f t="shared" si="2"/>
        <v>-1.9800000000000002E-4</v>
      </c>
      <c r="C47">
        <v>3.99</v>
      </c>
      <c r="D47">
        <v>-2.0099999999999998</v>
      </c>
      <c r="E47">
        <v>-1.97</v>
      </c>
      <c r="F47">
        <v>-1.95</v>
      </c>
      <c r="H47">
        <f t="shared" si="3"/>
        <v>-1.9766666666666666</v>
      </c>
    </row>
    <row r="48" spans="1:8" x14ac:dyDescent="0.45">
      <c r="A48">
        <v>-2.1</v>
      </c>
      <c r="B48">
        <f t="shared" si="2"/>
        <v>-2.31E-4</v>
      </c>
      <c r="C48">
        <v>3.99</v>
      </c>
      <c r="D48">
        <v>-2.29</v>
      </c>
      <c r="E48">
        <v>-2.29</v>
      </c>
      <c r="F48">
        <v>-2.3199999999999998</v>
      </c>
      <c r="H48">
        <f t="shared" si="3"/>
        <v>-2.3000000000000003</v>
      </c>
    </row>
    <row r="49" spans="1:8" x14ac:dyDescent="0.45">
      <c r="A49">
        <v>-2.4</v>
      </c>
      <c r="B49">
        <f t="shared" si="2"/>
        <v>-2.6400000000000002E-4</v>
      </c>
      <c r="C49">
        <v>4</v>
      </c>
      <c r="D49">
        <v>-2.63</v>
      </c>
      <c r="E49">
        <v>-2.62</v>
      </c>
      <c r="F49">
        <v>-2.61</v>
      </c>
      <c r="H49">
        <f t="shared" si="3"/>
        <v>-2.6199999999999997</v>
      </c>
    </row>
    <row r="52" spans="1:8" x14ac:dyDescent="0.45">
      <c r="E52" cm="1">
        <f t="array" ref="E52:F52">LINEST(H33:H49,B33:B49)</f>
        <v>9977.4707862943123</v>
      </c>
      <c r="F52">
        <v>5.2941176470588675E-3</v>
      </c>
    </row>
    <row r="53" spans="1:8" x14ac:dyDescent="0.45">
      <c r="H53" cm="1">
        <f t="array" ref="H53">AVERAGE(ABS(H33:H49))</f>
        <v>1.3888235294117646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C0B2-D179-4D84-846A-11D2F5086C04}">
  <dimension ref="A1:I43"/>
  <sheetViews>
    <sheetView tabSelected="1" zoomScale="103" workbookViewId="0">
      <selection activeCell="B7" sqref="B7"/>
    </sheetView>
  </sheetViews>
  <sheetFormatPr defaultColWidth="15.59765625" defaultRowHeight="14.25" x14ac:dyDescent="0.45"/>
  <sheetData>
    <row r="1" spans="1:9" x14ac:dyDescent="0.45">
      <c r="D1" t="s">
        <v>15</v>
      </c>
      <c r="E1">
        <f>4*F1*(10^-7)</f>
        <v>1.2566370614359173E-6</v>
      </c>
      <c r="F1">
        <f>PI()</f>
        <v>3.1415926535897931</v>
      </c>
      <c r="H1" t="s">
        <v>20</v>
      </c>
    </row>
    <row r="2" spans="1:9" x14ac:dyDescent="0.45">
      <c r="A2" t="s">
        <v>12</v>
      </c>
      <c r="C2" t="s">
        <v>13</v>
      </c>
      <c r="D2" t="s">
        <v>16</v>
      </c>
      <c r="E2" t="s">
        <v>17</v>
      </c>
      <c r="H2" t="s">
        <v>21</v>
      </c>
    </row>
    <row r="3" spans="1:9" x14ac:dyDescent="0.45">
      <c r="A3" t="s">
        <v>14</v>
      </c>
      <c r="C3">
        <f>(8*E1*154)/(5*SQRT(5)*0.1975)</f>
        <v>7.011298631811381E-4</v>
      </c>
      <c r="H3" t="s">
        <v>22</v>
      </c>
    </row>
    <row r="5" spans="1:9" x14ac:dyDescent="0.45">
      <c r="A5" t="s">
        <v>18</v>
      </c>
      <c r="B5" t="s">
        <v>23</v>
      </c>
    </row>
    <row r="6" spans="1:9" x14ac:dyDescent="0.45">
      <c r="A6" t="s">
        <v>19</v>
      </c>
      <c r="B6">
        <f>'exp1 &amp;exp2'!E52</f>
        <v>9977.4707862943123</v>
      </c>
      <c r="C6" t="s">
        <v>27</v>
      </c>
      <c r="E6" t="s">
        <v>32</v>
      </c>
      <c r="F6">
        <v>5.0000000000000001E-3</v>
      </c>
    </row>
    <row r="7" spans="1:9" x14ac:dyDescent="0.45">
      <c r="A7" t="s">
        <v>24</v>
      </c>
      <c r="B7">
        <f>4/(B6*3*F1*(0.12)^2*4)</f>
        <v>7.3849220511114952E-4</v>
      </c>
      <c r="E7" t="s">
        <v>36</v>
      </c>
      <c r="F7">
        <f>0.01/'exp1 &amp;exp2'!H53</f>
        <v>7.2003388394747993E-3</v>
      </c>
    </row>
    <row r="8" spans="1:9" x14ac:dyDescent="0.45">
      <c r="A8" t="s">
        <v>30</v>
      </c>
      <c r="B8">
        <f>C3/B7</f>
        <v>0.94940726297254818</v>
      </c>
    </row>
    <row r="9" spans="1:9" x14ac:dyDescent="0.45">
      <c r="D9" t="s">
        <v>37</v>
      </c>
      <c r="F9">
        <f>SQRT(F6^2 + F7^2)</f>
        <v>8.7661211150228419E-3</v>
      </c>
    </row>
    <row r="10" spans="1:9" x14ac:dyDescent="0.45">
      <c r="A10" t="s">
        <v>43</v>
      </c>
      <c r="B10">
        <f>0.00074/C3</f>
        <v>1.0554392828776424</v>
      </c>
      <c r="D10" t="s">
        <v>38</v>
      </c>
      <c r="F10">
        <f>SQRT(F9^2 + 2*I14^2)</f>
        <v>8.8449854885204997E-3</v>
      </c>
    </row>
    <row r="11" spans="1:9" x14ac:dyDescent="0.45">
      <c r="D11" t="s">
        <v>42</v>
      </c>
      <c r="F11">
        <f>F10*B7</f>
        <v>6.5319528375936221E-6</v>
      </c>
    </row>
    <row r="12" spans="1:9" x14ac:dyDescent="0.45">
      <c r="D12" t="s">
        <v>41</v>
      </c>
      <c r="E12">
        <f>B7*10^4</f>
        <v>7.384922051111495</v>
      </c>
      <c r="F12">
        <f>F11*10^4</f>
        <v>6.5319528375936214E-2</v>
      </c>
    </row>
    <row r="13" spans="1:9" x14ac:dyDescent="0.45">
      <c r="A13" t="s">
        <v>34</v>
      </c>
    </row>
    <row r="14" spans="1:9" x14ac:dyDescent="0.45">
      <c r="E14" t="s">
        <v>32</v>
      </c>
      <c r="F14">
        <v>5.0000000000000001E-3</v>
      </c>
      <c r="H14" t="s">
        <v>39</v>
      </c>
      <c r="I14">
        <f>0.0001/0.12</f>
        <v>8.3333333333333339E-4</v>
      </c>
    </row>
    <row r="15" spans="1:9" x14ac:dyDescent="0.45">
      <c r="A15" t="s">
        <v>25</v>
      </c>
      <c r="B15" t="s">
        <v>26</v>
      </c>
      <c r="E15" t="s">
        <v>33</v>
      </c>
      <c r="F15">
        <f>0.01/'exp1 &amp;exp2'!I6</f>
        <v>3.7558125670680825E-3</v>
      </c>
    </row>
    <row r="16" spans="1:9" x14ac:dyDescent="0.45">
      <c r="A16" t="s">
        <v>19</v>
      </c>
      <c r="B16">
        <f>'exp1 &amp;exp2'!G28</f>
        <v>15479.076479076477</v>
      </c>
    </row>
    <row r="17" spans="1:6" x14ac:dyDescent="0.45">
      <c r="A17" t="s">
        <v>24</v>
      </c>
      <c r="B17">
        <f>4/(B16*3*F1*(0.12^2)*2.6*1)</f>
        <v>7.3233194324385999E-4</v>
      </c>
      <c r="D17" t="s">
        <v>35</v>
      </c>
      <c r="F17">
        <f>SQRT(F14^2+F15^2)</f>
        <v>6.2534892691158061E-3</v>
      </c>
    </row>
    <row r="18" spans="1:6" x14ac:dyDescent="0.45">
      <c r="A18" t="s">
        <v>31</v>
      </c>
      <c r="B18">
        <f>C3/B17</f>
        <v>0.95739352850769766</v>
      </c>
      <c r="D18" t="s">
        <v>38</v>
      </c>
      <c r="F18">
        <f>SQRT(F17^2 + 2*(0.00083^2))</f>
        <v>6.3626981728624014E-3</v>
      </c>
    </row>
    <row r="19" spans="1:6" x14ac:dyDescent="0.45">
      <c r="D19" t="s">
        <v>40</v>
      </c>
      <c r="F19">
        <f>F18*B17</f>
        <v>4.6596071172064801E-6</v>
      </c>
    </row>
    <row r="20" spans="1:6" x14ac:dyDescent="0.45">
      <c r="A20" t="s">
        <v>30</v>
      </c>
      <c r="B20">
        <f>1-0.00073/C3</f>
        <v>-4.117658986578232E-2</v>
      </c>
      <c r="D20" t="s">
        <v>41</v>
      </c>
      <c r="E20">
        <f>B17*10^4</f>
        <v>7.3233194324386002</v>
      </c>
      <c r="F20">
        <f>F19*10^4</f>
        <v>4.6596071172064803E-2</v>
      </c>
    </row>
    <row r="31" spans="1:6" x14ac:dyDescent="0.45">
      <c r="A31" t="s">
        <v>28</v>
      </c>
    </row>
    <row r="32" spans="1:6" x14ac:dyDescent="0.45">
      <c r="A32" t="s">
        <v>29</v>
      </c>
    </row>
    <row r="33" spans="1:2" x14ac:dyDescent="0.45">
      <c r="A33">
        <f>(SQRT(((8*$E$1*154)/(5*SQRT(5)*B33)- $C$3 )^2))/$C$3</f>
        <v>1.282051282051278E-2</v>
      </c>
      <c r="B33">
        <v>0.19500000000000001</v>
      </c>
    </row>
    <row r="34" spans="1:2" x14ac:dyDescent="0.45">
      <c r="A34">
        <f t="shared" ref="A34:A43" si="0">(SQRT(((8*$E$1*154)/(5*SQRT(5)*B34)- $C$3 )^2))/$C$3</f>
        <v>7.6530612244897879E-3</v>
      </c>
      <c r="B34">
        <v>0.19600000000000001</v>
      </c>
    </row>
    <row r="35" spans="1:2" x14ac:dyDescent="0.45">
      <c r="A35">
        <f t="shared" si="0"/>
        <v>2.5380710659897356E-3</v>
      </c>
      <c r="B35">
        <v>0.19700000000000001</v>
      </c>
    </row>
    <row r="36" spans="1:2" x14ac:dyDescent="0.45">
      <c r="A36">
        <f t="shared" si="0"/>
        <v>2.5252525252524331E-3</v>
      </c>
      <c r="B36">
        <v>0.19800000000000001</v>
      </c>
    </row>
    <row r="37" spans="1:2" x14ac:dyDescent="0.45">
      <c r="A37">
        <f t="shared" si="0"/>
        <v>7.5376884422109353E-3</v>
      </c>
      <c r="B37">
        <v>0.19900000000000001</v>
      </c>
    </row>
    <row r="38" spans="1:2" x14ac:dyDescent="0.45">
      <c r="A38">
        <f t="shared" si="0"/>
        <v>1.2499999999999992E-2</v>
      </c>
      <c r="B38">
        <v>0.2</v>
      </c>
    </row>
    <row r="39" spans="1:2" x14ac:dyDescent="0.45">
      <c r="A39">
        <f t="shared" si="0"/>
        <v>1.7412935323382971E-2</v>
      </c>
      <c r="B39">
        <v>0.20100000000000001</v>
      </c>
    </row>
    <row r="40" spans="1:2" x14ac:dyDescent="0.45">
      <c r="A40">
        <f t="shared" si="0"/>
        <v>2.2277227722772252E-2</v>
      </c>
      <c r="B40">
        <v>0.20200000000000001</v>
      </c>
    </row>
    <row r="41" spans="1:2" x14ac:dyDescent="0.45">
      <c r="A41">
        <f t="shared" si="0"/>
        <v>2.7093596059113361E-2</v>
      </c>
      <c r="B41">
        <v>0.20300000000000001</v>
      </c>
    </row>
    <row r="42" spans="1:2" x14ac:dyDescent="0.45">
      <c r="A42">
        <f t="shared" si="0"/>
        <v>3.1862745098039047E-2</v>
      </c>
      <c r="B42">
        <v>0.20399999999999999</v>
      </c>
    </row>
    <row r="43" spans="1:2" x14ac:dyDescent="0.45">
      <c r="A43">
        <f t="shared" si="0"/>
        <v>3.6585365853658354E-2</v>
      </c>
      <c r="B43">
        <v>0.20499999999999999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exp1 &amp;exp2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Bhar</dc:creator>
  <cp:lastModifiedBy>Soham Bhar</cp:lastModifiedBy>
  <dcterms:created xsi:type="dcterms:W3CDTF">2026-04-13T02:28:28Z</dcterms:created>
  <dcterms:modified xsi:type="dcterms:W3CDTF">2026-04-18T08:01:47Z</dcterms:modified>
</cp:coreProperties>
</file>