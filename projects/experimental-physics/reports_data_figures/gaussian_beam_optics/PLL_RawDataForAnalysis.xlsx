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1 stuff\"/>
    </mc:Choice>
  </mc:AlternateContent>
  <xr:revisionPtr revIDLastSave="0" documentId="13_ncr:1_{D8091DE0-346D-4B8F-887A-4B1528B61F02}" xr6:coauthVersionLast="47" xr6:coauthVersionMax="47" xr10:uidLastSave="{00000000-0000-0000-0000-000000000000}"/>
  <bookViews>
    <workbookView xWindow="1837" yWindow="442" windowWidth="16201" windowHeight="12338" xr2:uid="{FB0A6631-E46F-4E48-9158-07BBF932A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1" i="1" l="1"/>
  <c r="C180" i="1"/>
  <c r="D178" i="1"/>
  <c r="C178" i="1"/>
  <c r="D174" i="1"/>
  <c r="C174" i="1"/>
  <c r="C170" i="1"/>
  <c r="D165" i="1"/>
  <c r="D164" i="1"/>
  <c r="C164" i="1"/>
  <c r="D160" i="1"/>
  <c r="D159" i="1"/>
  <c r="C159" i="1"/>
  <c r="F117" i="1"/>
  <c r="F114" i="1"/>
  <c r="F115" i="1" s="1"/>
  <c r="J111" i="1"/>
  <c r="J110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B8" i="1"/>
  <c r="E117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R100" i="1"/>
  <c r="Q100" i="1"/>
  <c r="P100" i="1"/>
  <c r="O100" i="1"/>
  <c r="O104" i="1" s="1"/>
  <c r="N100" i="1"/>
  <c r="N104" i="1" s="1"/>
  <c r="M100" i="1"/>
  <c r="L100" i="1"/>
  <c r="K100" i="1"/>
  <c r="J100" i="1"/>
  <c r="J104" i="1" s="1"/>
  <c r="I100" i="1"/>
  <c r="H100" i="1"/>
  <c r="H104" i="1" s="1"/>
  <c r="G100" i="1"/>
  <c r="F100" i="1"/>
  <c r="E100" i="1"/>
  <c r="D100" i="1"/>
  <c r="D104" i="1" s="1"/>
  <c r="C100" i="1"/>
  <c r="C104" i="1" s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R89" i="1"/>
  <c r="R93" i="1" s="1"/>
  <c r="Q89" i="1"/>
  <c r="P89" i="1"/>
  <c r="P93" i="1" s="1"/>
  <c r="O89" i="1"/>
  <c r="O93" i="1" s="1"/>
  <c r="N89" i="1"/>
  <c r="N93" i="1" s="1"/>
  <c r="M89" i="1"/>
  <c r="L89" i="1"/>
  <c r="L93" i="1" s="1"/>
  <c r="K89" i="1"/>
  <c r="K93" i="1" s="1"/>
  <c r="J89" i="1"/>
  <c r="I89" i="1"/>
  <c r="H89" i="1"/>
  <c r="G89" i="1"/>
  <c r="F89" i="1"/>
  <c r="F93" i="1" s="1"/>
  <c r="E89" i="1"/>
  <c r="E93" i="1" s="1"/>
  <c r="D89" i="1"/>
  <c r="D93" i="1" s="1"/>
  <c r="C89" i="1"/>
  <c r="C93" i="1" s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R78" i="1"/>
  <c r="R82" i="1" s="1"/>
  <c r="Q78" i="1"/>
  <c r="Q82" i="1" s="1"/>
  <c r="P78" i="1"/>
  <c r="P82" i="1" s="1"/>
  <c r="O78" i="1"/>
  <c r="O82" i="1" s="1"/>
  <c r="N78" i="1"/>
  <c r="N82" i="1" s="1"/>
  <c r="M78" i="1"/>
  <c r="M82" i="1" s="1"/>
  <c r="L78" i="1"/>
  <c r="L82" i="1" s="1"/>
  <c r="K78" i="1"/>
  <c r="K82" i="1" s="1"/>
  <c r="J78" i="1"/>
  <c r="J82" i="1" s="1"/>
  <c r="I78" i="1"/>
  <c r="I82" i="1" s="1"/>
  <c r="H78" i="1"/>
  <c r="H82" i="1" s="1"/>
  <c r="G78" i="1"/>
  <c r="G82" i="1" s="1"/>
  <c r="F78" i="1"/>
  <c r="F82" i="1" s="1"/>
  <c r="E78" i="1"/>
  <c r="E82" i="1" s="1"/>
  <c r="D78" i="1"/>
  <c r="D82" i="1" s="1"/>
  <c r="C78" i="1"/>
  <c r="C82" i="1" s="1"/>
  <c r="S70" i="1"/>
  <c r="R70" i="1"/>
  <c r="Q70" i="1"/>
  <c r="Q71" i="1" s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S67" i="1"/>
  <c r="S71" i="1" s="1"/>
  <c r="R67" i="1"/>
  <c r="Q67" i="1"/>
  <c r="P67" i="1"/>
  <c r="O67" i="1"/>
  <c r="O71" i="1" s="1"/>
  <c r="N67" i="1"/>
  <c r="N71" i="1" s="1"/>
  <c r="M67" i="1"/>
  <c r="M71" i="1" s="1"/>
  <c r="L67" i="1"/>
  <c r="K67" i="1"/>
  <c r="K71" i="1" s="1"/>
  <c r="J67" i="1"/>
  <c r="I67" i="1"/>
  <c r="I71" i="1" s="1"/>
  <c r="H67" i="1"/>
  <c r="G67" i="1"/>
  <c r="G71" i="1" s="1"/>
  <c r="F67" i="1"/>
  <c r="E67" i="1"/>
  <c r="D67" i="1"/>
  <c r="C67" i="1"/>
  <c r="C71" i="1" s="1"/>
  <c r="D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P54" i="1"/>
  <c r="O54" i="1"/>
  <c r="N54" i="1"/>
  <c r="M54" i="1"/>
  <c r="M59" i="1" s="1"/>
  <c r="L54" i="1"/>
  <c r="K54" i="1"/>
  <c r="J54" i="1"/>
  <c r="I54" i="1"/>
  <c r="H54" i="1"/>
  <c r="G54" i="1"/>
  <c r="F54" i="1"/>
  <c r="E54" i="1"/>
  <c r="D54" i="1"/>
  <c r="C54" i="1"/>
  <c r="C59" i="1" s="1"/>
  <c r="B54" i="1"/>
  <c r="B59" i="1" s="1"/>
  <c r="J46" i="1"/>
  <c r="D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Q42" i="1"/>
  <c r="P42" i="1"/>
  <c r="O42" i="1"/>
  <c r="N42" i="1"/>
  <c r="M42" i="1"/>
  <c r="L42" i="1"/>
  <c r="K42" i="1"/>
  <c r="J42" i="1"/>
  <c r="I42" i="1"/>
  <c r="I46" i="1" s="1"/>
  <c r="H42" i="1"/>
  <c r="G42" i="1"/>
  <c r="F42" i="1"/>
  <c r="F46" i="1" s="1"/>
  <c r="E42" i="1"/>
  <c r="E46" i="1" s="1"/>
  <c r="D42" i="1"/>
  <c r="C42" i="1"/>
  <c r="C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Q26" i="1"/>
  <c r="P26" i="1"/>
  <c r="O26" i="1"/>
  <c r="N26" i="1"/>
  <c r="M26" i="1"/>
  <c r="L26" i="1"/>
  <c r="K26" i="1"/>
  <c r="J26" i="1"/>
  <c r="I26" i="1"/>
  <c r="H26" i="1"/>
  <c r="G26" i="1"/>
  <c r="F26" i="1"/>
  <c r="F31" i="1" s="1"/>
  <c r="E26" i="1"/>
  <c r="D26" i="1"/>
  <c r="C26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U13" i="1"/>
  <c r="U18" i="1" s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G18" i="1" s="1"/>
  <c r="F13" i="1"/>
  <c r="F18" i="1" s="1"/>
  <c r="E13" i="1"/>
  <c r="E18" i="1" s="1"/>
  <c r="D13" i="1"/>
  <c r="C13" i="1"/>
  <c r="B13" i="1"/>
  <c r="F118" i="1" l="1"/>
  <c r="F137" i="1" s="1"/>
  <c r="J71" i="1"/>
  <c r="I104" i="1"/>
  <c r="Q93" i="1"/>
  <c r="R104" i="1"/>
  <c r="G104" i="1"/>
  <c r="N46" i="1"/>
  <c r="O46" i="1"/>
  <c r="H18" i="1"/>
  <c r="K104" i="1"/>
  <c r="I18" i="1"/>
  <c r="L104" i="1"/>
  <c r="M104" i="1"/>
  <c r="P71" i="1"/>
  <c r="P104" i="1"/>
  <c r="E59" i="1"/>
  <c r="E104" i="1"/>
  <c r="H59" i="1"/>
  <c r="H71" i="1"/>
  <c r="I59" i="1"/>
  <c r="C46" i="1"/>
  <c r="G31" i="1"/>
  <c r="H46" i="1"/>
  <c r="L18" i="1"/>
  <c r="I31" i="1"/>
  <c r="M18" i="1"/>
  <c r="L59" i="1"/>
  <c r="G93" i="1"/>
  <c r="J93" i="1"/>
  <c r="J59" i="1"/>
  <c r="K59" i="1"/>
  <c r="H93" i="1"/>
  <c r="I93" i="1"/>
  <c r="G46" i="1"/>
  <c r="K18" i="1"/>
  <c r="H31" i="1"/>
  <c r="M93" i="1"/>
  <c r="L31" i="1"/>
  <c r="Q104" i="1"/>
  <c r="M31" i="1"/>
  <c r="D71" i="1"/>
  <c r="P59" i="1"/>
  <c r="K46" i="1"/>
  <c r="M46" i="1"/>
  <c r="D31" i="1"/>
  <c r="F59" i="1"/>
  <c r="E31" i="1"/>
  <c r="P46" i="1"/>
  <c r="G59" i="1"/>
  <c r="Q46" i="1"/>
  <c r="O59" i="1"/>
  <c r="O18" i="1"/>
  <c r="P18" i="1"/>
  <c r="J31" i="1"/>
  <c r="K31" i="1"/>
  <c r="E71" i="1"/>
  <c r="P31" i="1"/>
  <c r="R71" i="1"/>
  <c r="Q31" i="1"/>
  <c r="N59" i="1"/>
  <c r="N31" i="1"/>
  <c r="O31" i="1"/>
  <c r="N18" i="1"/>
  <c r="J18" i="1"/>
  <c r="F71" i="1"/>
  <c r="B18" i="1"/>
  <c r="C18" i="1"/>
  <c r="S18" i="1"/>
  <c r="F104" i="1"/>
  <c r="L46" i="1"/>
  <c r="Q18" i="1"/>
  <c r="R18" i="1"/>
  <c r="D18" i="1"/>
  <c r="T18" i="1"/>
  <c r="L71" i="1"/>
</calcChain>
</file>

<file path=xl/sharedStrings.xml><?xml version="1.0" encoding="utf-8"?>
<sst xmlns="http://schemas.openxmlformats.org/spreadsheetml/2006/main" count="102" uniqueCount="39">
  <si>
    <t xml:space="preserve">10 CM FINAL </t>
  </si>
  <si>
    <t xml:space="preserve">0.07 MM TRANSLATION STEP </t>
  </si>
  <si>
    <t xml:space="preserve">min </t>
  </si>
  <si>
    <t>max</t>
  </si>
  <si>
    <t>0.06 MM TRANSLATION STEP</t>
  </si>
  <si>
    <t xml:space="preserve">Rd1 </t>
  </si>
  <si>
    <t>avg</t>
  </si>
  <si>
    <t>rd2</t>
  </si>
  <si>
    <t xml:space="preserve">avg </t>
  </si>
  <si>
    <t xml:space="preserve">FINAL AVG </t>
  </si>
  <si>
    <t xml:space="preserve">20cm </t>
  </si>
  <si>
    <t xml:space="preserve">Distances </t>
  </si>
  <si>
    <t xml:space="preserve">max </t>
  </si>
  <si>
    <t>Rd2</t>
  </si>
  <si>
    <t xml:space="preserve">50cm </t>
  </si>
  <si>
    <t>Rd3</t>
  </si>
  <si>
    <t>FINAL AVG</t>
  </si>
  <si>
    <t xml:space="preserve">1M FINAL READINGS </t>
  </si>
  <si>
    <t xml:space="preserve">0.14 mm translation </t>
  </si>
  <si>
    <t xml:space="preserve">200cm </t>
  </si>
  <si>
    <t xml:space="preserve">500cm </t>
  </si>
  <si>
    <t xml:space="preserve">1000cm </t>
  </si>
  <si>
    <t xml:space="preserve">1500cm </t>
  </si>
  <si>
    <t>Distance (in m)</t>
  </si>
  <si>
    <t>W (in mm)</t>
  </si>
  <si>
    <t>pi =</t>
  </si>
  <si>
    <t xml:space="preserve">rayleigh range </t>
  </si>
  <si>
    <t>slope = 0.504</t>
  </si>
  <si>
    <t>W0</t>
  </si>
  <si>
    <t>in mrad</t>
  </si>
  <si>
    <t xml:space="preserve">M2 VALUE </t>
  </si>
  <si>
    <t xml:space="preserve">ERROR </t>
  </si>
  <si>
    <t xml:space="preserve">BEAM WIDTH ERROR </t>
  </si>
  <si>
    <t xml:space="preserve">RAYLEIGH RANGE </t>
  </si>
  <si>
    <t xml:space="preserve">THETA ERROR </t>
  </si>
  <si>
    <t xml:space="preserve">CAPITAL THETA ERROR </t>
  </si>
  <si>
    <t xml:space="preserve">^ %age error in beam width </t>
  </si>
  <si>
    <t xml:space="preserve">M^2 ERROR </t>
  </si>
  <si>
    <t>final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</si>
</sst>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/>
    </xf>
    <xf numFmtId="0" fontId="1" fillId="5" borderId="0" xfId="0" applyFont="1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0885826771653544E-3"/>
                  <c:y val="-0.18542505103528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Sheet1!$B$112:$B$119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</c:numCache>
            </c:numRef>
          </c:xVal>
          <c:yVal>
            <c:numRef>
              <c:f>Sheet1!$C$112:$C$119</c:f>
              <c:numCache>
                <c:formatCode>General</c:formatCode>
                <c:ptCount val="8"/>
                <c:pt idx="0">
                  <c:v>0.37</c:v>
                </c:pt>
                <c:pt idx="1">
                  <c:v>0.38</c:v>
                </c:pt>
                <c:pt idx="2">
                  <c:v>0.49</c:v>
                </c:pt>
                <c:pt idx="3">
                  <c:v>0.65</c:v>
                </c:pt>
                <c:pt idx="4">
                  <c:v>1.06</c:v>
                </c:pt>
                <c:pt idx="5">
                  <c:v>2.61</c:v>
                </c:pt>
                <c:pt idx="6">
                  <c:v>5.16</c:v>
                </c:pt>
                <c:pt idx="7">
                  <c:v>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0-4FCA-8671-90278D88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290271"/>
        <c:axId val="1456290751"/>
      </c:scatterChart>
      <c:valAx>
        <c:axId val="145629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90751"/>
        <c:crosses val="autoZero"/>
        <c:crossBetween val="midCat"/>
      </c:valAx>
      <c:valAx>
        <c:axId val="145629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9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Spot</a:t>
            </a:r>
            <a:r>
              <a:rPr lang="en-IN" baseline="0"/>
              <a:t> Size vs Distance (5m,10m,15m)</a:t>
            </a:r>
            <a:endParaRPr lang="en-IN"/>
          </a:p>
        </c:rich>
      </c:tx>
      <c:layout>
        <c:manualLayout>
          <c:xMode val="edge"/>
          <c:yMode val="edge"/>
          <c:x val="0.135409667541557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5"/>
            <c:dispRSqr val="0"/>
            <c:dispEq val="1"/>
            <c:trendlineLbl>
              <c:layout>
                <c:manualLayout>
                  <c:x val="3.0977471566054245E-2"/>
                  <c:y val="-0.186542359288422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Sheet1!$B$117:$B$119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15</c:v>
                </c:pt>
              </c:numCache>
            </c:numRef>
          </c:xVal>
          <c:yVal>
            <c:numRef>
              <c:f>Sheet1!$C$117:$C$119</c:f>
              <c:numCache>
                <c:formatCode>General</c:formatCode>
                <c:ptCount val="3"/>
                <c:pt idx="0">
                  <c:v>2.61</c:v>
                </c:pt>
                <c:pt idx="1">
                  <c:v>5.16</c:v>
                </c:pt>
                <c:pt idx="2">
                  <c:v>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B-4039-8F73-1C4E1D13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936671"/>
        <c:axId val="1403937631"/>
      </c:scatterChart>
      <c:valAx>
        <c:axId val="140393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Propagation</a:t>
                </a:r>
                <a:r>
                  <a:rPr lang="en-IN" baseline="0"/>
                  <a:t> distance (in 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937631"/>
        <c:crosses val="autoZero"/>
        <c:crossBetween val="midCat"/>
      </c:valAx>
      <c:valAx>
        <c:axId val="140393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Spot</a:t>
                </a:r>
                <a:r>
                  <a:rPr lang="en-IN" baseline="0"/>
                  <a:t> size W(z) (in mm)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93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Spot Size vs Distance (2m,5m,10m,15m)</a:t>
            </a:r>
          </a:p>
        </c:rich>
      </c:tx>
      <c:layout>
        <c:manualLayout>
          <c:xMode val="edge"/>
          <c:yMode val="edge"/>
          <c:x val="7.1520778652668399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4614480298096105E-2"/>
                  <c:y val="-0.171354644823897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Sheet1!$B$116:$B$119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Sheet1!$C$116:$C$119</c:f>
              <c:numCache>
                <c:formatCode>General</c:formatCode>
                <c:ptCount val="4"/>
                <c:pt idx="0">
                  <c:v>1.06</c:v>
                </c:pt>
                <c:pt idx="1">
                  <c:v>2.61</c:v>
                </c:pt>
                <c:pt idx="2">
                  <c:v>5.16</c:v>
                </c:pt>
                <c:pt idx="3">
                  <c:v>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E-48BB-84DD-9EAE7512F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78623"/>
        <c:axId val="1193723791"/>
      </c:scatterChart>
      <c:valAx>
        <c:axId val="141107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Propagation distance (in 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23791"/>
        <c:crosses val="autoZero"/>
        <c:crossBetween val="midCat"/>
      </c:valAx>
      <c:valAx>
        <c:axId val="11937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Spot size W(z) (in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7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452436</xdr:colOff>
      <xdr:row>119</xdr:row>
      <xdr:rowOff>2446</xdr:rowOff>
    </xdr:from>
    <xdr:to>
      <xdr:col>9</xdr:col>
      <xdr:colOff>570855</xdr:colOff>
      <xdr:row>134</xdr:row>
      <xdr:rowOff>42606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4CE1A-96AA-3B87-B298-C2FA50225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716305</xdr:colOff>
      <xdr:row>123</xdr:row>
      <xdr:rowOff>111853</xdr:rowOff>
    </xdr:from>
    <xdr:to>
      <xdr:col>4</xdr:col>
      <xdr:colOff>834724</xdr:colOff>
      <xdr:row>138</xdr:row>
      <xdr:rowOff>152013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D2709-7D1D-F24C-1022-066397E9E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108070</xdr:colOff>
      <xdr:row>140</xdr:row>
      <xdr:rowOff>4437</xdr:rowOff>
    </xdr:from>
    <xdr:to>
      <xdr:col>10</xdr:col>
      <xdr:colOff>221559</xdr:colOff>
      <xdr:row>155</xdr:row>
      <xdr:rowOff>11732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8C69C-F3CC-7D12-AF8F-3F2031E0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3F46-C5BD-41A4-B1B1-D6EDCA04A1BA}">
  <dimension ref="A3:U181"/>
  <sheetViews>
    <sheetView tabSelected="1" topLeftCell="A153" zoomScale="82" zoomScaleNormal="100" workbookViewId="0">
      <selection activeCell="B182" sqref="B182"/>
    </sheetView>
  </sheetViews>
  <sheetFormatPr defaultColWidth="15.59765625" defaultRowHeight="14.25" x14ac:dyDescent="0.45"/>
  <sheetData>
    <row r="3" spans="1:21" x14ac:dyDescent="0.45">
      <c r="A3" s="1" t="s">
        <v>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5">
      <c r="A4" s="1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/>
      <c r="T4" s="1"/>
      <c r="U4" s="1"/>
    </row>
    <row r="5" spans="1:21" x14ac:dyDescent="0.45">
      <c r="A5" s="1"/>
      <c r="B5" s="2">
        <v>0</v>
      </c>
      <c r="C5" s="2">
        <v>7.0000000000000007E-2</v>
      </c>
      <c r="D5" s="2">
        <v>0.14000000000000001</v>
      </c>
      <c r="E5" s="2">
        <v>0.21</v>
      </c>
      <c r="F5" s="2">
        <v>0.28000000000000003</v>
      </c>
      <c r="G5" s="2">
        <v>0.35</v>
      </c>
      <c r="H5" s="2">
        <v>0.42</v>
      </c>
      <c r="I5" s="2">
        <v>0.49</v>
      </c>
      <c r="J5" s="2">
        <v>0.56000000000000005</v>
      </c>
      <c r="K5" s="2">
        <v>0.63</v>
      </c>
      <c r="L5" s="2">
        <v>0.7</v>
      </c>
      <c r="M5" s="2">
        <v>0.77</v>
      </c>
      <c r="N5" s="2">
        <v>0.84</v>
      </c>
      <c r="O5" s="2">
        <v>0.91</v>
      </c>
      <c r="P5" s="2">
        <v>0.98</v>
      </c>
      <c r="Q5" s="2">
        <v>1.05</v>
      </c>
      <c r="R5" s="2">
        <v>1.1200000000000001</v>
      </c>
      <c r="S5" s="1"/>
      <c r="T5" s="1"/>
      <c r="U5" s="1"/>
    </row>
    <row r="6" spans="1:21" x14ac:dyDescent="0.45">
      <c r="A6" s="1" t="s">
        <v>2</v>
      </c>
      <c r="B6" s="1">
        <v>0.01</v>
      </c>
      <c r="C6" s="1">
        <v>2.5999999999999999E-2</v>
      </c>
      <c r="D6" s="1">
        <v>6.6000000000000003E-2</v>
      </c>
      <c r="E6" s="1">
        <v>0.17599999999999999</v>
      </c>
      <c r="F6" s="1">
        <v>0.26900000000000002</v>
      </c>
      <c r="G6" s="1">
        <v>0.40799999999999997</v>
      </c>
      <c r="H6" s="1">
        <v>0.61499999999999999</v>
      </c>
      <c r="I6" s="1">
        <v>0.82399999999999995</v>
      </c>
      <c r="J6" s="1">
        <v>0.94599999999999995</v>
      </c>
      <c r="K6" s="1">
        <v>1.117</v>
      </c>
      <c r="L6" s="1">
        <v>1.0940000000000001</v>
      </c>
      <c r="M6" s="1">
        <v>0.82599999999999996</v>
      </c>
      <c r="N6" s="1">
        <v>0.57599999999999996</v>
      </c>
      <c r="O6" s="1">
        <v>0.36799999999999999</v>
      </c>
      <c r="P6" s="1">
        <v>0.155</v>
      </c>
      <c r="Q6" s="1">
        <v>5.8999999999999997E-2</v>
      </c>
      <c r="R6" s="1">
        <v>1.7999999999999999E-2</v>
      </c>
      <c r="S6" s="1"/>
      <c r="T6" s="1"/>
      <c r="U6" s="1"/>
    </row>
    <row r="7" spans="1:21" x14ac:dyDescent="0.45">
      <c r="A7" s="1" t="s">
        <v>3</v>
      </c>
      <c r="B7" s="1">
        <v>1.0999999999999999E-2</v>
      </c>
      <c r="C7" s="1">
        <v>2.8000000000000001E-2</v>
      </c>
      <c r="D7" s="1">
        <v>6.7000000000000004E-2</v>
      </c>
      <c r="E7" s="1">
        <v>0.17699999999999999</v>
      </c>
      <c r="F7" s="1">
        <v>0.27100000000000002</v>
      </c>
      <c r="G7" s="1">
        <v>0.41199999999999998</v>
      </c>
      <c r="H7" s="1">
        <v>0.61799999999999999</v>
      </c>
      <c r="I7" s="1">
        <v>0.82599999999999996</v>
      </c>
      <c r="J7" s="1">
        <v>0.94799999999999995</v>
      </c>
      <c r="K7" s="1">
        <v>1.119</v>
      </c>
      <c r="L7" s="1">
        <v>1.097</v>
      </c>
      <c r="M7" s="1">
        <v>0.83299999999999996</v>
      </c>
      <c r="N7" s="1">
        <v>0.57699999999999996</v>
      </c>
      <c r="O7" s="1">
        <v>0.36399999999999999</v>
      </c>
      <c r="P7" s="1">
        <v>0.157</v>
      </c>
      <c r="Q7" s="1">
        <v>0.06</v>
      </c>
      <c r="R7" s="1">
        <v>0.02</v>
      </c>
      <c r="S7" s="1"/>
      <c r="T7" s="1"/>
      <c r="U7" s="1"/>
    </row>
    <row r="8" spans="1:21" x14ac:dyDescent="0.45">
      <c r="A8" s="1" t="s">
        <v>8</v>
      </c>
      <c r="B8" s="1">
        <f>(B6+B7)/2</f>
        <v>1.0499999999999999E-2</v>
      </c>
      <c r="C8" s="1">
        <f t="shared" ref="C8:R8" si="0">(C6+C7)/2</f>
        <v>2.7E-2</v>
      </c>
      <c r="D8" s="1">
        <f t="shared" si="0"/>
        <v>6.6500000000000004E-2</v>
      </c>
      <c r="E8" s="1">
        <f t="shared" si="0"/>
        <v>0.17649999999999999</v>
      </c>
      <c r="F8" s="1">
        <f t="shared" si="0"/>
        <v>0.27</v>
      </c>
      <c r="G8" s="1">
        <f t="shared" si="0"/>
        <v>0.41</v>
      </c>
      <c r="H8" s="1">
        <f t="shared" si="0"/>
        <v>0.61650000000000005</v>
      </c>
      <c r="I8" s="1">
        <f t="shared" si="0"/>
        <v>0.82499999999999996</v>
      </c>
      <c r="J8" s="1">
        <f t="shared" si="0"/>
        <v>0.94699999999999995</v>
      </c>
      <c r="K8" s="1">
        <f t="shared" si="0"/>
        <v>1.1179999999999999</v>
      </c>
      <c r="L8" s="1">
        <f t="shared" si="0"/>
        <v>1.0954999999999999</v>
      </c>
      <c r="M8" s="1">
        <f t="shared" si="0"/>
        <v>0.8294999999999999</v>
      </c>
      <c r="N8" s="1">
        <f t="shared" si="0"/>
        <v>0.57650000000000001</v>
      </c>
      <c r="O8" s="1">
        <f t="shared" si="0"/>
        <v>0.36599999999999999</v>
      </c>
      <c r="P8" s="1">
        <f t="shared" si="0"/>
        <v>0.156</v>
      </c>
      <c r="Q8" s="1">
        <f t="shared" si="0"/>
        <v>5.9499999999999997E-2</v>
      </c>
      <c r="R8" s="1">
        <f t="shared" si="0"/>
        <v>1.9E-2</v>
      </c>
      <c r="S8" s="1"/>
      <c r="T8" s="1"/>
      <c r="U8" s="1"/>
    </row>
    <row r="9" spans="1:21" x14ac:dyDescent="0.45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5">
      <c r="A10" s="1"/>
      <c r="B10" s="2">
        <v>0</v>
      </c>
      <c r="C10" s="2">
        <v>0.06</v>
      </c>
      <c r="D10" s="2">
        <v>0.12</v>
      </c>
      <c r="E10" s="2">
        <v>0.18</v>
      </c>
      <c r="F10" s="2">
        <v>0.24</v>
      </c>
      <c r="G10" s="2">
        <v>0.3</v>
      </c>
      <c r="H10" s="2">
        <v>0.36</v>
      </c>
      <c r="I10" s="2">
        <v>0.42</v>
      </c>
      <c r="J10" s="2">
        <v>0.48</v>
      </c>
      <c r="K10" s="2">
        <v>0.54</v>
      </c>
      <c r="L10" s="2">
        <v>0.6</v>
      </c>
      <c r="M10" s="2">
        <v>0.66</v>
      </c>
      <c r="N10" s="2">
        <v>0.72</v>
      </c>
      <c r="O10" s="2">
        <v>0.78</v>
      </c>
      <c r="P10" s="2">
        <v>0.84</v>
      </c>
      <c r="Q10" s="2">
        <v>0.9</v>
      </c>
      <c r="R10" s="2">
        <v>0.96</v>
      </c>
      <c r="S10" s="2">
        <v>1.02</v>
      </c>
      <c r="T10" s="2">
        <v>1.08</v>
      </c>
      <c r="U10" s="2">
        <v>1.1399999999999999</v>
      </c>
    </row>
    <row r="11" spans="1:21" x14ac:dyDescent="0.45">
      <c r="A11" s="1" t="s">
        <v>5</v>
      </c>
      <c r="B11" s="1">
        <v>8.9999999999999993E-3</v>
      </c>
      <c r="C11" s="1">
        <v>2.1000000000000001E-2</v>
      </c>
      <c r="D11" s="1">
        <v>5.1999999999999998E-2</v>
      </c>
      <c r="E11" s="1">
        <v>0.104</v>
      </c>
      <c r="F11" s="1">
        <v>0.17699999999999999</v>
      </c>
      <c r="G11" s="1">
        <v>0.26800000000000002</v>
      </c>
      <c r="H11" s="1">
        <v>0.373</v>
      </c>
      <c r="I11" s="1">
        <v>0.59899999999999998</v>
      </c>
      <c r="J11" s="1">
        <v>0.76800000000000002</v>
      </c>
      <c r="K11" s="1">
        <v>0.94599999999999995</v>
      </c>
      <c r="L11" s="1">
        <v>1.093</v>
      </c>
      <c r="M11" s="1">
        <v>1.1559999999999999</v>
      </c>
      <c r="N11" s="1">
        <v>1.0509999999999999</v>
      </c>
      <c r="O11" s="1">
        <v>0.82299999999999995</v>
      </c>
      <c r="P11" s="1">
        <v>0.56999999999999995</v>
      </c>
      <c r="Q11" s="1">
        <v>0.40100000000000002</v>
      </c>
      <c r="R11" s="1">
        <v>0.19900000000000001</v>
      </c>
      <c r="S11" s="1">
        <v>9.5000000000000001E-2</v>
      </c>
      <c r="T11" s="1">
        <v>3.6999999999999998E-2</v>
      </c>
      <c r="U11" s="1">
        <v>1.6E-2</v>
      </c>
    </row>
    <row r="12" spans="1:21" x14ac:dyDescent="0.45">
      <c r="A12" s="1"/>
      <c r="B12" s="1">
        <v>0.01</v>
      </c>
      <c r="C12" s="1">
        <v>2.5000000000000001E-2</v>
      </c>
      <c r="D12" s="1">
        <v>5.3999999999999999E-2</v>
      </c>
      <c r="E12" s="1">
        <v>0.106</v>
      </c>
      <c r="F12" s="1">
        <v>0.17899999999999999</v>
      </c>
      <c r="G12" s="1">
        <v>0.27100000000000002</v>
      </c>
      <c r="H12" s="1">
        <v>0.376</v>
      </c>
      <c r="I12" s="1">
        <v>0.60299999999999998</v>
      </c>
      <c r="J12" s="1">
        <v>0.77300000000000002</v>
      </c>
      <c r="K12" s="1">
        <v>0.95199999999999996</v>
      </c>
      <c r="L12" s="1">
        <v>1.097</v>
      </c>
      <c r="M12" s="1">
        <v>1.157</v>
      </c>
      <c r="N12" s="1">
        <v>1.0580000000000001</v>
      </c>
      <c r="O12" s="1">
        <v>0.82699999999999996</v>
      </c>
      <c r="P12" s="1">
        <v>0.57299999999999995</v>
      </c>
      <c r="Q12" s="1">
        <v>0.40400000000000003</v>
      </c>
      <c r="R12" s="1">
        <v>0.20100000000000001</v>
      </c>
      <c r="S12" s="1">
        <v>9.7000000000000003E-2</v>
      </c>
      <c r="T12" s="1">
        <v>0.04</v>
      </c>
      <c r="U12" s="1">
        <v>1.7000000000000001E-2</v>
      </c>
    </row>
    <row r="13" spans="1:21" x14ac:dyDescent="0.45">
      <c r="A13" s="1" t="s">
        <v>6</v>
      </c>
      <c r="B13" s="3">
        <f>(B11+B12)/2</f>
        <v>9.4999999999999998E-3</v>
      </c>
      <c r="C13" s="3">
        <f t="shared" ref="C13:U13" si="1">(C11+C12)/2</f>
        <v>2.3E-2</v>
      </c>
      <c r="D13" s="3">
        <f t="shared" si="1"/>
        <v>5.2999999999999999E-2</v>
      </c>
      <c r="E13" s="3">
        <f t="shared" si="1"/>
        <v>0.105</v>
      </c>
      <c r="F13" s="3">
        <f t="shared" si="1"/>
        <v>0.17799999999999999</v>
      </c>
      <c r="G13" s="3">
        <f t="shared" si="1"/>
        <v>0.26950000000000002</v>
      </c>
      <c r="H13" s="3">
        <f t="shared" si="1"/>
        <v>0.3745</v>
      </c>
      <c r="I13" s="3">
        <f t="shared" si="1"/>
        <v>0.60099999999999998</v>
      </c>
      <c r="J13" s="3">
        <f t="shared" si="1"/>
        <v>0.77049999999999996</v>
      </c>
      <c r="K13" s="3">
        <f t="shared" si="1"/>
        <v>0.94899999999999995</v>
      </c>
      <c r="L13" s="3">
        <f t="shared" si="1"/>
        <v>1.095</v>
      </c>
      <c r="M13" s="3">
        <f t="shared" si="1"/>
        <v>1.1564999999999999</v>
      </c>
      <c r="N13" s="3">
        <f t="shared" si="1"/>
        <v>1.0545</v>
      </c>
      <c r="O13" s="3">
        <f t="shared" si="1"/>
        <v>0.82499999999999996</v>
      </c>
      <c r="P13" s="3">
        <f t="shared" si="1"/>
        <v>0.5714999999999999</v>
      </c>
      <c r="Q13" s="3">
        <f t="shared" si="1"/>
        <v>0.40250000000000002</v>
      </c>
      <c r="R13" s="3">
        <f t="shared" si="1"/>
        <v>0.2</v>
      </c>
      <c r="S13" s="3">
        <f t="shared" si="1"/>
        <v>9.6000000000000002E-2</v>
      </c>
      <c r="T13" s="3">
        <f t="shared" si="1"/>
        <v>3.85E-2</v>
      </c>
      <c r="U13" s="3">
        <f t="shared" si="1"/>
        <v>1.6500000000000001E-2</v>
      </c>
    </row>
    <row r="14" spans="1:2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5">
      <c r="A15" s="1" t="s">
        <v>7</v>
      </c>
      <c r="B15" s="1">
        <v>1.0999999999999999E-2</v>
      </c>
      <c r="C15" s="1">
        <v>2.5000000000000001E-2</v>
      </c>
      <c r="D15" s="1">
        <v>5.1999999999999998E-2</v>
      </c>
      <c r="E15" s="1">
        <v>0.113</v>
      </c>
      <c r="F15" s="1">
        <v>0.17899999999999999</v>
      </c>
      <c r="G15" s="1">
        <v>0.246</v>
      </c>
      <c r="H15" s="1">
        <v>0.34499999999999997</v>
      </c>
      <c r="I15" s="1">
        <v>0.59499999999999997</v>
      </c>
      <c r="J15" s="1">
        <v>0.80100000000000005</v>
      </c>
      <c r="K15" s="1">
        <v>0.94299999999999995</v>
      </c>
      <c r="L15" s="1">
        <v>1.091</v>
      </c>
      <c r="M15" s="1">
        <v>1.163</v>
      </c>
      <c r="N15" s="1">
        <v>1.056</v>
      </c>
      <c r="O15" s="1">
        <v>0.84399999999999997</v>
      </c>
      <c r="P15" s="1">
        <v>0.58799999999999997</v>
      </c>
      <c r="Q15" s="1">
        <v>0.40699999999999997</v>
      </c>
      <c r="R15" s="1">
        <v>0.20200000000000001</v>
      </c>
      <c r="S15" s="1">
        <v>9.4E-2</v>
      </c>
      <c r="T15" s="1">
        <v>4.3999999999999997E-2</v>
      </c>
      <c r="U15" s="1">
        <v>1.7999999999999999E-2</v>
      </c>
    </row>
    <row r="16" spans="1:21" x14ac:dyDescent="0.45">
      <c r="A16" s="1"/>
      <c r="B16" s="1">
        <v>1.2E-2</v>
      </c>
      <c r="C16" s="1">
        <v>2.8000000000000001E-2</v>
      </c>
      <c r="D16" s="1">
        <v>5.7000000000000002E-2</v>
      </c>
      <c r="E16" s="1">
        <v>0.11700000000000001</v>
      </c>
      <c r="F16" s="1">
        <v>0.18</v>
      </c>
      <c r="G16" s="1">
        <v>0.25</v>
      </c>
      <c r="H16" s="1">
        <v>0.35099999999999998</v>
      </c>
      <c r="I16" s="1">
        <v>0.59699999999999998</v>
      </c>
      <c r="J16" s="1">
        <v>0.80200000000000005</v>
      </c>
      <c r="K16" s="1">
        <v>0.94399999999999995</v>
      </c>
      <c r="L16" s="1">
        <v>1.0940000000000001</v>
      </c>
      <c r="M16" s="1">
        <v>1.167</v>
      </c>
      <c r="N16" s="1">
        <v>1.0589999999999999</v>
      </c>
      <c r="O16" s="1">
        <v>0.84599999999999997</v>
      </c>
      <c r="P16" s="1">
        <v>0.58899999999999997</v>
      </c>
      <c r="Q16" s="1">
        <v>0.40799999999999997</v>
      </c>
      <c r="R16" s="1">
        <v>0.20399999999999999</v>
      </c>
      <c r="S16" s="1">
        <v>9.5000000000000001E-2</v>
      </c>
      <c r="T16" s="1">
        <v>4.4999999999999998E-2</v>
      </c>
      <c r="U16" s="1">
        <v>1.9E-2</v>
      </c>
    </row>
    <row r="17" spans="1:21" x14ac:dyDescent="0.45">
      <c r="A17" s="1" t="s">
        <v>8</v>
      </c>
      <c r="B17" s="3">
        <f>(B15+B16)/2</f>
        <v>1.15E-2</v>
      </c>
      <c r="C17" s="3">
        <f t="shared" ref="C17:U17" si="2">(C15+C16)/2</f>
        <v>2.6500000000000003E-2</v>
      </c>
      <c r="D17" s="3">
        <f t="shared" si="2"/>
        <v>5.45E-2</v>
      </c>
      <c r="E17" s="3">
        <f t="shared" si="2"/>
        <v>0.115</v>
      </c>
      <c r="F17" s="3">
        <f t="shared" si="2"/>
        <v>0.17949999999999999</v>
      </c>
      <c r="G17" s="3">
        <f t="shared" si="2"/>
        <v>0.248</v>
      </c>
      <c r="H17" s="3">
        <f t="shared" si="2"/>
        <v>0.34799999999999998</v>
      </c>
      <c r="I17" s="3">
        <f t="shared" si="2"/>
        <v>0.59599999999999997</v>
      </c>
      <c r="J17" s="3">
        <f t="shared" si="2"/>
        <v>0.8015000000000001</v>
      </c>
      <c r="K17" s="3">
        <f t="shared" si="2"/>
        <v>0.94350000000000001</v>
      </c>
      <c r="L17" s="3">
        <f t="shared" si="2"/>
        <v>1.0925</v>
      </c>
      <c r="M17" s="3">
        <f t="shared" si="2"/>
        <v>1.165</v>
      </c>
      <c r="N17" s="3">
        <f t="shared" si="2"/>
        <v>1.0575000000000001</v>
      </c>
      <c r="O17" s="3">
        <f t="shared" si="2"/>
        <v>0.84499999999999997</v>
      </c>
      <c r="P17" s="3">
        <f t="shared" si="2"/>
        <v>0.58850000000000002</v>
      </c>
      <c r="Q17" s="3">
        <f t="shared" si="2"/>
        <v>0.40749999999999997</v>
      </c>
      <c r="R17" s="3">
        <f t="shared" si="2"/>
        <v>0.20300000000000001</v>
      </c>
      <c r="S17" s="3">
        <f t="shared" si="2"/>
        <v>9.4500000000000001E-2</v>
      </c>
      <c r="T17" s="3">
        <f t="shared" si="2"/>
        <v>4.4499999999999998E-2</v>
      </c>
      <c r="U17" s="3">
        <f t="shared" si="2"/>
        <v>1.8499999999999999E-2</v>
      </c>
    </row>
    <row r="18" spans="1:21" x14ac:dyDescent="0.45">
      <c r="A18" s="1" t="s">
        <v>9</v>
      </c>
      <c r="B18" s="4">
        <f>(B13+B17)/2</f>
        <v>1.0499999999999999E-2</v>
      </c>
      <c r="C18" s="4">
        <f t="shared" ref="C18:U18" si="3">(C13+C17)/2</f>
        <v>2.4750000000000001E-2</v>
      </c>
      <c r="D18" s="4">
        <f t="shared" si="3"/>
        <v>5.3749999999999999E-2</v>
      </c>
      <c r="E18" s="4">
        <f t="shared" si="3"/>
        <v>0.11</v>
      </c>
      <c r="F18" s="4">
        <f t="shared" si="3"/>
        <v>0.17874999999999999</v>
      </c>
      <c r="G18" s="4">
        <f t="shared" si="3"/>
        <v>0.25875000000000004</v>
      </c>
      <c r="H18" s="4">
        <f t="shared" si="3"/>
        <v>0.36124999999999996</v>
      </c>
      <c r="I18" s="4">
        <f t="shared" si="3"/>
        <v>0.59850000000000003</v>
      </c>
      <c r="J18" s="4">
        <f t="shared" si="3"/>
        <v>0.78600000000000003</v>
      </c>
      <c r="K18" s="4">
        <f t="shared" si="3"/>
        <v>0.94625000000000004</v>
      </c>
      <c r="L18" s="4">
        <f t="shared" si="3"/>
        <v>1.09375</v>
      </c>
      <c r="M18" s="4">
        <f t="shared" si="3"/>
        <v>1.1607499999999999</v>
      </c>
      <c r="N18" s="4">
        <f t="shared" si="3"/>
        <v>1.056</v>
      </c>
      <c r="O18" s="4">
        <f t="shared" si="3"/>
        <v>0.83499999999999996</v>
      </c>
      <c r="P18" s="4">
        <f t="shared" si="3"/>
        <v>0.57999999999999996</v>
      </c>
      <c r="Q18" s="4">
        <f t="shared" si="3"/>
        <v>0.40500000000000003</v>
      </c>
      <c r="R18" s="4">
        <f t="shared" si="3"/>
        <v>0.20150000000000001</v>
      </c>
      <c r="S18" s="4">
        <f t="shared" si="3"/>
        <v>9.5250000000000001E-2</v>
      </c>
      <c r="T18" s="4">
        <f t="shared" si="3"/>
        <v>4.1499999999999995E-2</v>
      </c>
      <c r="U18" s="4">
        <f t="shared" si="3"/>
        <v>1.7500000000000002E-2</v>
      </c>
    </row>
    <row r="22" spans="1:21" x14ac:dyDescent="0.45">
      <c r="A22" s="1" t="s">
        <v>10</v>
      </c>
      <c r="B22" s="1"/>
      <c r="C22" s="1" t="s">
        <v>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21" x14ac:dyDescent="0.45">
      <c r="A23" s="1"/>
      <c r="B23" s="1"/>
      <c r="C23" s="2">
        <v>-1.05</v>
      </c>
      <c r="D23" s="2">
        <v>-0.95</v>
      </c>
      <c r="E23" s="2">
        <v>-0.85</v>
      </c>
      <c r="F23" s="2">
        <v>-0.75</v>
      </c>
      <c r="G23" s="2">
        <v>-0.65</v>
      </c>
      <c r="H23" s="2">
        <v>-0.55000000000000004</v>
      </c>
      <c r="I23" s="2">
        <v>-0.45</v>
      </c>
      <c r="J23" s="2">
        <v>-0.35</v>
      </c>
      <c r="K23" s="2">
        <v>-0.25</v>
      </c>
      <c r="L23" s="2">
        <v>-0.15</v>
      </c>
      <c r="M23" s="2">
        <v>-0.05</v>
      </c>
      <c r="N23" s="2">
        <v>0.05</v>
      </c>
      <c r="O23" s="2">
        <v>0.15</v>
      </c>
      <c r="P23" s="2">
        <v>0.25</v>
      </c>
      <c r="Q23" s="2">
        <v>0.35</v>
      </c>
    </row>
    <row r="24" spans="1:21" x14ac:dyDescent="0.45">
      <c r="A24" s="15" t="s">
        <v>5</v>
      </c>
      <c r="B24" s="1" t="s">
        <v>2</v>
      </c>
      <c r="C24" s="1">
        <v>5.0000000000000001E-3</v>
      </c>
      <c r="D24" s="1">
        <v>8.0000000000000002E-3</v>
      </c>
      <c r="E24" s="1">
        <v>3.4000000000000002E-2</v>
      </c>
      <c r="F24" s="1">
        <v>0.13100000000000001</v>
      </c>
      <c r="G24" s="1">
        <v>0.28100000000000003</v>
      </c>
      <c r="H24" s="1">
        <v>0.61699999999999999</v>
      </c>
      <c r="I24" s="1">
        <v>0.91600000000000004</v>
      </c>
      <c r="J24" s="1">
        <v>1.2150000000000001</v>
      </c>
      <c r="K24" s="1">
        <v>1.1279999999999999</v>
      </c>
      <c r="L24" s="1">
        <v>0.81499999999999995</v>
      </c>
      <c r="M24" s="1">
        <v>0.36499999999999999</v>
      </c>
      <c r="N24" s="1">
        <v>0.161</v>
      </c>
      <c r="O24" s="1">
        <v>0.05</v>
      </c>
      <c r="P24" s="1">
        <v>1.0999999999999999E-2</v>
      </c>
      <c r="Q24" s="1">
        <v>6.0000000000000001E-3</v>
      </c>
    </row>
    <row r="25" spans="1:21" x14ac:dyDescent="0.45">
      <c r="A25" s="15"/>
      <c r="B25" s="1" t="s">
        <v>12</v>
      </c>
      <c r="C25" s="1">
        <v>7.0000000000000001E-3</v>
      </c>
      <c r="D25" s="1">
        <v>8.9999999999999993E-3</v>
      </c>
      <c r="E25" s="1">
        <v>3.5999999999999997E-2</v>
      </c>
      <c r="F25" s="1">
        <v>0.123</v>
      </c>
      <c r="G25" s="1">
        <v>0.28799999999999998</v>
      </c>
      <c r="H25" s="1">
        <v>0.61899999999999999</v>
      </c>
      <c r="I25" s="1">
        <v>0.93</v>
      </c>
      <c r="J25" s="1">
        <v>1.234</v>
      </c>
      <c r="K25" s="1">
        <v>1.133</v>
      </c>
      <c r="L25" s="1">
        <v>0.82399999999999995</v>
      </c>
      <c r="M25" s="1">
        <v>0.36799999999999999</v>
      </c>
      <c r="N25" s="1">
        <v>0.16400000000000001</v>
      </c>
      <c r="O25" s="1">
        <v>5.1999999999999998E-2</v>
      </c>
      <c r="P25" s="1">
        <v>1.2E-2</v>
      </c>
      <c r="Q25" s="1">
        <v>8.0000000000000002E-3</v>
      </c>
    </row>
    <row r="26" spans="1:21" x14ac:dyDescent="0.45">
      <c r="A26" s="5"/>
      <c r="B26" s="1" t="s">
        <v>6</v>
      </c>
      <c r="C26" s="3">
        <f>(C24+C25)/2</f>
        <v>6.0000000000000001E-3</v>
      </c>
      <c r="D26" s="3">
        <f t="shared" ref="D26:Q26" si="4">(D24+D25)/2</f>
        <v>8.5000000000000006E-3</v>
      </c>
      <c r="E26" s="3">
        <f t="shared" si="4"/>
        <v>3.5000000000000003E-2</v>
      </c>
      <c r="F26" s="3">
        <f t="shared" si="4"/>
        <v>0.127</v>
      </c>
      <c r="G26" s="3">
        <f t="shared" si="4"/>
        <v>0.28449999999999998</v>
      </c>
      <c r="H26" s="3">
        <f t="shared" si="4"/>
        <v>0.61799999999999999</v>
      </c>
      <c r="I26" s="3">
        <f t="shared" si="4"/>
        <v>0.92300000000000004</v>
      </c>
      <c r="J26" s="3">
        <f t="shared" si="4"/>
        <v>1.2244999999999999</v>
      </c>
      <c r="K26" s="3">
        <f t="shared" si="4"/>
        <v>1.1305000000000001</v>
      </c>
      <c r="L26" s="3">
        <f t="shared" si="4"/>
        <v>0.8194999999999999</v>
      </c>
      <c r="M26" s="3">
        <f t="shared" si="4"/>
        <v>0.36649999999999999</v>
      </c>
      <c r="N26" s="3">
        <f t="shared" si="4"/>
        <v>0.16250000000000001</v>
      </c>
      <c r="O26" s="3">
        <f t="shared" si="4"/>
        <v>5.1000000000000004E-2</v>
      </c>
      <c r="P26" s="3">
        <f t="shared" si="4"/>
        <v>1.15E-2</v>
      </c>
      <c r="Q26" s="3">
        <f t="shared" si="4"/>
        <v>7.0000000000000001E-3</v>
      </c>
    </row>
    <row r="27" spans="1:21" x14ac:dyDescent="0.45">
      <c r="A27" s="1"/>
      <c r="B27" s="1"/>
      <c r="C27" s="2">
        <v>-1.05</v>
      </c>
      <c r="D27" s="2">
        <v>-0.95</v>
      </c>
      <c r="E27" s="2">
        <v>-0.85</v>
      </c>
      <c r="F27" s="2">
        <v>-0.75</v>
      </c>
      <c r="G27" s="2">
        <v>-0.65</v>
      </c>
      <c r="H27" s="2">
        <v>-0.55000000000000004</v>
      </c>
      <c r="I27" s="2">
        <v>-0.45</v>
      </c>
      <c r="J27" s="2">
        <v>-0.35</v>
      </c>
      <c r="K27" s="2">
        <v>-0.25</v>
      </c>
      <c r="L27" s="2">
        <v>-0.15</v>
      </c>
      <c r="M27" s="2">
        <v>-0.05</v>
      </c>
      <c r="N27" s="2">
        <v>0.05</v>
      </c>
      <c r="O27" s="2">
        <v>0.15</v>
      </c>
      <c r="P27" s="2">
        <v>0.25</v>
      </c>
      <c r="Q27" s="2">
        <v>0.35</v>
      </c>
    </row>
    <row r="28" spans="1:21" x14ac:dyDescent="0.45">
      <c r="A28" s="15" t="s">
        <v>13</v>
      </c>
      <c r="B28" s="1" t="s">
        <v>2</v>
      </c>
      <c r="C28" s="1">
        <v>4.0000000000000001E-3</v>
      </c>
      <c r="D28" s="1">
        <v>8.9999999999999993E-3</v>
      </c>
      <c r="E28" s="1">
        <v>3.2000000000000001E-2</v>
      </c>
      <c r="F28" s="1">
        <v>0.129</v>
      </c>
      <c r="G28" s="1">
        <v>0.30099999999999999</v>
      </c>
      <c r="H28" s="1">
        <v>0.61499999999999999</v>
      </c>
      <c r="I28" s="1">
        <v>0.93500000000000005</v>
      </c>
      <c r="J28" s="1">
        <v>1.238</v>
      </c>
      <c r="K28" s="1">
        <v>1.1639999999999999</v>
      </c>
      <c r="L28" s="1">
        <v>0.81299999999999994</v>
      </c>
      <c r="M28" s="1">
        <v>0.39500000000000002</v>
      </c>
      <c r="N28" s="1">
        <v>0.187</v>
      </c>
      <c r="O28" s="1">
        <v>5.5E-2</v>
      </c>
      <c r="P28" s="1">
        <v>1.2E-2</v>
      </c>
      <c r="Q28" s="1">
        <v>7.0000000000000001E-3</v>
      </c>
    </row>
    <row r="29" spans="1:21" x14ac:dyDescent="0.45">
      <c r="A29" s="15"/>
      <c r="B29" s="1" t="s">
        <v>12</v>
      </c>
      <c r="C29" s="1">
        <v>8.0000000000000002E-3</v>
      </c>
      <c r="D29" s="1">
        <v>1.0999999999999999E-2</v>
      </c>
      <c r="E29" s="1">
        <v>3.3000000000000002E-2</v>
      </c>
      <c r="F29" s="1">
        <v>0.13500000000000001</v>
      </c>
      <c r="G29" s="1">
        <v>0.312</v>
      </c>
      <c r="H29" s="1">
        <v>0.63</v>
      </c>
      <c r="I29" s="1">
        <v>0.94899999999999995</v>
      </c>
      <c r="J29" s="1">
        <v>1.246</v>
      </c>
      <c r="K29" s="1">
        <v>1.1759999999999999</v>
      </c>
      <c r="L29" s="1">
        <v>0.81699999999999995</v>
      </c>
      <c r="M29" s="1">
        <v>0.40400000000000003</v>
      </c>
      <c r="N29" s="1">
        <v>0.189</v>
      </c>
      <c r="O29" s="1">
        <v>5.6000000000000001E-2</v>
      </c>
      <c r="P29" s="1">
        <v>1.2999999999999999E-2</v>
      </c>
      <c r="Q29" s="1">
        <v>8.9999999999999993E-3</v>
      </c>
    </row>
    <row r="30" spans="1:21" x14ac:dyDescent="0.45">
      <c r="A30" s="1"/>
      <c r="B30" s="1" t="s">
        <v>6</v>
      </c>
      <c r="C30" s="3">
        <f>(C28+C29)/2</f>
        <v>6.0000000000000001E-3</v>
      </c>
      <c r="D30" s="3">
        <f t="shared" ref="D30:Q30" si="5">(D28+D29)/2</f>
        <v>9.9999999999999985E-3</v>
      </c>
      <c r="E30" s="3">
        <f t="shared" si="5"/>
        <v>3.2500000000000001E-2</v>
      </c>
      <c r="F30" s="3">
        <f t="shared" si="5"/>
        <v>0.13200000000000001</v>
      </c>
      <c r="G30" s="3">
        <f t="shared" si="5"/>
        <v>0.30649999999999999</v>
      </c>
      <c r="H30" s="3">
        <f t="shared" si="5"/>
        <v>0.62250000000000005</v>
      </c>
      <c r="I30" s="3">
        <f t="shared" si="5"/>
        <v>0.94199999999999995</v>
      </c>
      <c r="J30" s="3">
        <f t="shared" si="5"/>
        <v>1.242</v>
      </c>
      <c r="K30" s="3">
        <f t="shared" si="5"/>
        <v>1.17</v>
      </c>
      <c r="L30" s="3">
        <f t="shared" si="5"/>
        <v>0.81499999999999995</v>
      </c>
      <c r="M30" s="3">
        <f t="shared" si="5"/>
        <v>0.39950000000000002</v>
      </c>
      <c r="N30" s="3">
        <f t="shared" si="5"/>
        <v>0.188</v>
      </c>
      <c r="O30" s="3">
        <f t="shared" si="5"/>
        <v>5.5500000000000001E-2</v>
      </c>
      <c r="P30" s="3">
        <f t="shared" si="5"/>
        <v>1.2500000000000001E-2</v>
      </c>
      <c r="Q30" s="3">
        <f t="shared" si="5"/>
        <v>8.0000000000000002E-3</v>
      </c>
    </row>
    <row r="31" spans="1:21" x14ac:dyDescent="0.45">
      <c r="A31" s="1" t="s">
        <v>9</v>
      </c>
      <c r="B31" s="1"/>
      <c r="C31" s="4">
        <f>(C26+C30)/2</f>
        <v>6.0000000000000001E-3</v>
      </c>
      <c r="D31" s="4">
        <f t="shared" ref="D31:Q31" si="6">(D26+D30)/2</f>
        <v>9.2499999999999995E-3</v>
      </c>
      <c r="E31" s="4">
        <f t="shared" si="6"/>
        <v>3.3750000000000002E-2</v>
      </c>
      <c r="F31" s="4">
        <f t="shared" si="6"/>
        <v>0.1295</v>
      </c>
      <c r="G31" s="4">
        <f t="shared" si="6"/>
        <v>0.29549999999999998</v>
      </c>
      <c r="H31" s="4">
        <f t="shared" si="6"/>
        <v>0.62024999999999997</v>
      </c>
      <c r="I31" s="4">
        <f t="shared" si="6"/>
        <v>0.9325</v>
      </c>
      <c r="J31" s="4">
        <f t="shared" si="6"/>
        <v>1.23325</v>
      </c>
      <c r="K31" s="4">
        <f t="shared" si="6"/>
        <v>1.15025</v>
      </c>
      <c r="L31" s="4">
        <f t="shared" si="6"/>
        <v>0.81724999999999992</v>
      </c>
      <c r="M31" s="4">
        <f t="shared" si="6"/>
        <v>0.38300000000000001</v>
      </c>
      <c r="N31" s="4">
        <f t="shared" si="6"/>
        <v>0.17525000000000002</v>
      </c>
      <c r="O31" s="4">
        <f t="shared" si="6"/>
        <v>5.3250000000000006E-2</v>
      </c>
      <c r="P31" s="4">
        <f t="shared" si="6"/>
        <v>1.2E-2</v>
      </c>
      <c r="Q31" s="4">
        <f t="shared" si="6"/>
        <v>7.4999999999999997E-3</v>
      </c>
    </row>
    <row r="34" spans="1:17" x14ac:dyDescent="0.45">
      <c r="A34" s="1" t="s">
        <v>14</v>
      </c>
      <c r="B34" s="1"/>
      <c r="C34" s="1" t="s">
        <v>11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45">
      <c r="A35" s="1"/>
      <c r="B35" s="1"/>
      <c r="C35" s="1">
        <v>0.75</v>
      </c>
      <c r="D35" s="1">
        <v>0.6</v>
      </c>
      <c r="E35" s="1">
        <v>0.45</v>
      </c>
      <c r="F35" s="1">
        <v>0.3</v>
      </c>
      <c r="G35" s="1">
        <v>0.15</v>
      </c>
      <c r="H35" s="1">
        <v>0</v>
      </c>
      <c r="I35" s="1">
        <v>-0.15</v>
      </c>
      <c r="J35" s="1">
        <v>-0.3</v>
      </c>
      <c r="K35" s="1">
        <v>-0.45</v>
      </c>
      <c r="L35" s="1">
        <v>-0.6</v>
      </c>
      <c r="M35" s="1">
        <v>-0.75</v>
      </c>
      <c r="N35" s="1">
        <v>-0.9</v>
      </c>
      <c r="O35" s="1">
        <v>-1.05</v>
      </c>
      <c r="P35" s="1">
        <v>-1.2</v>
      </c>
      <c r="Q35" s="1">
        <v>-1.35</v>
      </c>
    </row>
    <row r="36" spans="1:17" x14ac:dyDescent="0.45">
      <c r="A36" s="15" t="s">
        <v>5</v>
      </c>
      <c r="B36" s="1" t="s">
        <v>2</v>
      </c>
      <c r="C36" s="1">
        <v>4.0000000000000001E-3</v>
      </c>
      <c r="D36" s="1">
        <v>2.5000000000000001E-2</v>
      </c>
      <c r="E36" s="1">
        <v>0.114</v>
      </c>
      <c r="F36" s="1">
        <v>0.40100000000000002</v>
      </c>
      <c r="G36" s="1">
        <v>0.87</v>
      </c>
      <c r="H36" s="1">
        <v>1.2070000000000001</v>
      </c>
      <c r="I36" s="1">
        <v>1.093</v>
      </c>
      <c r="J36" s="1">
        <v>0.74</v>
      </c>
      <c r="K36" s="1">
        <v>0.38300000000000001</v>
      </c>
      <c r="L36" s="1">
        <v>8.8999999999999996E-2</v>
      </c>
      <c r="M36" s="1">
        <v>2.1000000000000001E-2</v>
      </c>
      <c r="N36" s="1">
        <v>6.0000000000000001E-3</v>
      </c>
      <c r="O36" s="1"/>
      <c r="P36" s="1"/>
      <c r="Q36" s="1"/>
    </row>
    <row r="37" spans="1:17" x14ac:dyDescent="0.45">
      <c r="A37" s="15"/>
      <c r="B37" s="1" t="s">
        <v>12</v>
      </c>
      <c r="C37" s="1">
        <v>5.0000000000000001E-3</v>
      </c>
      <c r="D37" s="1">
        <v>2.5999999999999999E-2</v>
      </c>
      <c r="E37" s="1">
        <v>0.11700000000000001</v>
      </c>
      <c r="F37" s="1">
        <v>0.40799999999999997</v>
      </c>
      <c r="G37" s="1">
        <v>0.876</v>
      </c>
      <c r="H37" s="1">
        <v>1.2130000000000001</v>
      </c>
      <c r="I37" s="1">
        <v>1.097</v>
      </c>
      <c r="J37" s="1">
        <v>0.74399999999999999</v>
      </c>
      <c r="K37" s="1">
        <v>0.38400000000000001</v>
      </c>
      <c r="L37" s="1">
        <v>9.1999999999999998E-2</v>
      </c>
      <c r="M37" s="1">
        <v>2.1999999999999999E-2</v>
      </c>
      <c r="N37" s="1">
        <v>6.0000000000000001E-3</v>
      </c>
      <c r="O37" s="1"/>
      <c r="P37" s="1"/>
      <c r="Q37" s="1"/>
    </row>
    <row r="38" spans="1:17" x14ac:dyDescent="0.45">
      <c r="A38" s="5"/>
      <c r="B38" s="1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  <c r="O38" s="6">
        <v>13</v>
      </c>
      <c r="P38" s="6">
        <v>14</v>
      </c>
      <c r="Q38" s="6">
        <v>15</v>
      </c>
    </row>
    <row r="39" spans="1:17" x14ac:dyDescent="0.45">
      <c r="A39" s="1"/>
      <c r="B39" s="1"/>
      <c r="C39" s="2">
        <v>0.75</v>
      </c>
      <c r="D39" s="2">
        <v>0.63</v>
      </c>
      <c r="E39" s="2">
        <v>0.51</v>
      </c>
      <c r="F39" s="2">
        <v>0.39</v>
      </c>
      <c r="G39" s="2">
        <v>0.27</v>
      </c>
      <c r="H39" s="2">
        <v>0.15</v>
      </c>
      <c r="I39" s="2">
        <v>0.03</v>
      </c>
      <c r="J39" s="2">
        <v>-0.09</v>
      </c>
      <c r="K39" s="2">
        <v>-0.21</v>
      </c>
      <c r="L39" s="2">
        <v>-0.33</v>
      </c>
      <c r="M39" s="2">
        <v>-0.45</v>
      </c>
      <c r="N39" s="2">
        <v>-0.56999999999999995</v>
      </c>
      <c r="O39" s="2">
        <v>-0.69</v>
      </c>
      <c r="P39" s="2">
        <v>-0.81</v>
      </c>
      <c r="Q39" s="2">
        <v>-0.93</v>
      </c>
    </row>
    <row r="40" spans="1:17" x14ac:dyDescent="0.45">
      <c r="A40" s="15" t="s">
        <v>13</v>
      </c>
      <c r="B40" s="1" t="s">
        <v>2</v>
      </c>
      <c r="C40" s="1">
        <v>4.0000000000000001E-3</v>
      </c>
      <c r="D40" s="1">
        <v>1.4999999999999999E-2</v>
      </c>
      <c r="E40" s="1">
        <v>0.06</v>
      </c>
      <c r="F40" s="1">
        <v>0.20100000000000001</v>
      </c>
      <c r="G40" s="1">
        <v>0.47199999999999998</v>
      </c>
      <c r="H40" s="1">
        <v>0.86199999999999999</v>
      </c>
      <c r="I40" s="1">
        <v>1.151</v>
      </c>
      <c r="J40" s="1">
        <v>1.177</v>
      </c>
      <c r="K40" s="1">
        <v>0.98099999999999998</v>
      </c>
      <c r="L40" s="1">
        <v>0.67200000000000004</v>
      </c>
      <c r="M40" s="1">
        <v>0.39100000000000001</v>
      </c>
      <c r="N40" s="1">
        <v>0.13500000000000001</v>
      </c>
      <c r="O40" s="1">
        <v>3.2000000000000001E-2</v>
      </c>
      <c r="P40" s="1">
        <v>1.4E-2</v>
      </c>
      <c r="Q40" s="1">
        <v>3.0000000000000001E-3</v>
      </c>
    </row>
    <row r="41" spans="1:17" x14ac:dyDescent="0.45">
      <c r="A41" s="15"/>
      <c r="B41" s="1" t="s">
        <v>12</v>
      </c>
      <c r="C41" s="1">
        <v>4.0000000000000001E-3</v>
      </c>
      <c r="D41" s="1">
        <v>1.4999999999999999E-2</v>
      </c>
      <c r="E41" s="1">
        <v>6.2E-2</v>
      </c>
      <c r="F41" s="1">
        <v>0.20300000000000001</v>
      </c>
      <c r="G41" s="1">
        <v>0.47799999999999998</v>
      </c>
      <c r="H41" s="1">
        <v>0.85299999999999998</v>
      </c>
      <c r="I41" s="1">
        <v>1.1579999999999999</v>
      </c>
      <c r="J41" s="1">
        <v>1.18</v>
      </c>
      <c r="K41" s="1">
        <v>0.98599999999999999</v>
      </c>
      <c r="L41" s="1">
        <v>0.67700000000000005</v>
      </c>
      <c r="M41" s="1">
        <v>0.39400000000000002</v>
      </c>
      <c r="N41" s="1">
        <v>0.13700000000000001</v>
      </c>
      <c r="O41" s="1">
        <v>3.2000000000000001E-2</v>
      </c>
      <c r="P41" s="1">
        <v>1.4E-2</v>
      </c>
      <c r="Q41" s="1">
        <v>4.0000000000000001E-3</v>
      </c>
    </row>
    <row r="42" spans="1:17" x14ac:dyDescent="0.45">
      <c r="A42" s="1"/>
      <c r="B42" s="1" t="s">
        <v>8</v>
      </c>
      <c r="C42" s="3">
        <f>(C40+C41)/2</f>
        <v>4.0000000000000001E-3</v>
      </c>
      <c r="D42" s="3">
        <f t="shared" ref="D42:Q42" si="7">(D40+D41)/2</f>
        <v>1.4999999999999999E-2</v>
      </c>
      <c r="E42" s="3">
        <f t="shared" si="7"/>
        <v>6.0999999999999999E-2</v>
      </c>
      <c r="F42" s="3">
        <f t="shared" si="7"/>
        <v>0.20200000000000001</v>
      </c>
      <c r="G42" s="3">
        <f t="shared" si="7"/>
        <v>0.47499999999999998</v>
      </c>
      <c r="H42" s="3">
        <f t="shared" si="7"/>
        <v>0.85749999999999993</v>
      </c>
      <c r="I42" s="3">
        <f t="shared" si="7"/>
        <v>1.1545000000000001</v>
      </c>
      <c r="J42" s="3">
        <f t="shared" si="7"/>
        <v>1.1785000000000001</v>
      </c>
      <c r="K42" s="3">
        <f t="shared" si="7"/>
        <v>0.98350000000000004</v>
      </c>
      <c r="L42" s="3">
        <f t="shared" si="7"/>
        <v>0.6745000000000001</v>
      </c>
      <c r="M42" s="3">
        <f t="shared" si="7"/>
        <v>0.39250000000000002</v>
      </c>
      <c r="N42" s="3">
        <f t="shared" si="7"/>
        <v>0.13600000000000001</v>
      </c>
      <c r="O42" s="3">
        <f t="shared" si="7"/>
        <v>3.2000000000000001E-2</v>
      </c>
      <c r="P42" s="3">
        <f t="shared" si="7"/>
        <v>1.4E-2</v>
      </c>
      <c r="Q42" s="3">
        <f t="shared" si="7"/>
        <v>3.5000000000000001E-3</v>
      </c>
    </row>
    <row r="43" spans="1:17" x14ac:dyDescent="0.45">
      <c r="A43" s="15" t="s">
        <v>15</v>
      </c>
      <c r="B43" s="1" t="s">
        <v>2</v>
      </c>
      <c r="C43" s="1">
        <v>4.0000000000000001E-3</v>
      </c>
      <c r="D43" s="1">
        <v>1.6E-2</v>
      </c>
      <c r="E43" s="1">
        <v>5.8999999999999997E-2</v>
      </c>
      <c r="F43" s="1">
        <v>0.19800000000000001</v>
      </c>
      <c r="G43" s="1">
        <v>0.46800000000000003</v>
      </c>
      <c r="H43" s="1">
        <v>0.88</v>
      </c>
      <c r="I43" s="1">
        <v>1.147</v>
      </c>
      <c r="J43" s="1">
        <v>1.171</v>
      </c>
      <c r="K43" s="1">
        <v>0.93899999999999995</v>
      </c>
      <c r="L43" s="1">
        <v>0.65900000000000003</v>
      </c>
      <c r="M43" s="1">
        <v>0.38800000000000001</v>
      </c>
      <c r="N43" s="1">
        <v>0.13700000000000001</v>
      </c>
      <c r="O43" s="1">
        <v>3.2000000000000001E-2</v>
      </c>
      <c r="P43" s="1">
        <v>1.4E-2</v>
      </c>
      <c r="Q43" s="1">
        <v>3.0000000000000001E-3</v>
      </c>
    </row>
    <row r="44" spans="1:17" x14ac:dyDescent="0.45">
      <c r="A44" s="15"/>
      <c r="B44" s="1" t="s">
        <v>12</v>
      </c>
      <c r="C44" s="1">
        <v>4.0000000000000001E-3</v>
      </c>
      <c r="D44" s="1">
        <v>1.7000000000000001E-2</v>
      </c>
      <c r="E44" s="1">
        <v>6.0999999999999999E-2</v>
      </c>
      <c r="F44" s="1">
        <v>0.20200000000000001</v>
      </c>
      <c r="G44" s="1">
        <v>0.47199999999999998</v>
      </c>
      <c r="H44" s="1">
        <v>0.88300000000000001</v>
      </c>
      <c r="I44" s="1">
        <v>1.149</v>
      </c>
      <c r="J44" s="1">
        <v>1.175</v>
      </c>
      <c r="K44" s="1">
        <v>0.94499999999999995</v>
      </c>
      <c r="L44" s="1">
        <v>0.66200000000000003</v>
      </c>
      <c r="M44" s="1">
        <v>0.39200000000000002</v>
      </c>
      <c r="N44" s="1">
        <v>0.13900000000000001</v>
      </c>
      <c r="O44" s="1">
        <v>3.3000000000000002E-2</v>
      </c>
      <c r="P44" s="1">
        <v>1.4999999999999999E-2</v>
      </c>
      <c r="Q44" s="1">
        <v>4.0000000000000001E-3</v>
      </c>
    </row>
    <row r="45" spans="1:17" x14ac:dyDescent="0.45">
      <c r="A45" s="5"/>
      <c r="B45" s="1" t="s">
        <v>6</v>
      </c>
      <c r="C45" s="3">
        <f>(C43+C44)/2</f>
        <v>4.0000000000000001E-3</v>
      </c>
      <c r="D45" s="3">
        <f t="shared" ref="D45:Q45" si="8">(D43+D44)/2</f>
        <v>1.6500000000000001E-2</v>
      </c>
      <c r="E45" s="3">
        <f t="shared" si="8"/>
        <v>0.06</v>
      </c>
      <c r="F45" s="3">
        <f t="shared" si="8"/>
        <v>0.2</v>
      </c>
      <c r="G45" s="3">
        <f t="shared" si="8"/>
        <v>0.47</v>
      </c>
      <c r="H45" s="3">
        <f t="shared" si="8"/>
        <v>0.88149999999999995</v>
      </c>
      <c r="I45" s="3">
        <f t="shared" si="8"/>
        <v>1.1480000000000001</v>
      </c>
      <c r="J45" s="3">
        <f t="shared" si="8"/>
        <v>1.173</v>
      </c>
      <c r="K45" s="3">
        <f t="shared" si="8"/>
        <v>0.94199999999999995</v>
      </c>
      <c r="L45" s="3">
        <f t="shared" si="8"/>
        <v>0.66050000000000009</v>
      </c>
      <c r="M45" s="3">
        <f t="shared" si="8"/>
        <v>0.39</v>
      </c>
      <c r="N45" s="3">
        <f t="shared" si="8"/>
        <v>0.13800000000000001</v>
      </c>
      <c r="O45" s="3">
        <f t="shared" si="8"/>
        <v>3.2500000000000001E-2</v>
      </c>
      <c r="P45" s="3">
        <f t="shared" si="8"/>
        <v>1.4499999999999999E-2</v>
      </c>
      <c r="Q45" s="3">
        <f t="shared" si="8"/>
        <v>3.5000000000000001E-3</v>
      </c>
    </row>
    <row r="46" spans="1:17" x14ac:dyDescent="0.45">
      <c r="A46" s="5" t="s">
        <v>16</v>
      </c>
      <c r="B46" s="1"/>
      <c r="C46" s="4">
        <f>(C42+C45)/2</f>
        <v>4.0000000000000001E-3</v>
      </c>
      <c r="D46" s="4">
        <f t="shared" ref="D46:Q46" si="9">(D42+D45)/2</f>
        <v>1.575E-2</v>
      </c>
      <c r="E46" s="4">
        <f t="shared" si="9"/>
        <v>6.0499999999999998E-2</v>
      </c>
      <c r="F46" s="4">
        <f t="shared" si="9"/>
        <v>0.20100000000000001</v>
      </c>
      <c r="G46" s="4">
        <f t="shared" si="9"/>
        <v>0.47249999999999998</v>
      </c>
      <c r="H46" s="4">
        <f t="shared" si="9"/>
        <v>0.86949999999999994</v>
      </c>
      <c r="I46" s="4">
        <f t="shared" si="9"/>
        <v>1.1512500000000001</v>
      </c>
      <c r="J46" s="4">
        <f t="shared" si="9"/>
        <v>1.1757500000000001</v>
      </c>
      <c r="K46" s="4">
        <f t="shared" si="9"/>
        <v>0.96274999999999999</v>
      </c>
      <c r="L46" s="4">
        <f t="shared" si="9"/>
        <v>0.66750000000000009</v>
      </c>
      <c r="M46" s="4">
        <f t="shared" si="9"/>
        <v>0.39124999999999999</v>
      </c>
      <c r="N46" s="4">
        <f t="shared" si="9"/>
        <v>0.13700000000000001</v>
      </c>
      <c r="O46" s="4">
        <f t="shared" si="9"/>
        <v>3.2250000000000001E-2</v>
      </c>
      <c r="P46" s="4">
        <f t="shared" si="9"/>
        <v>1.4249999999999999E-2</v>
      </c>
      <c r="Q46" s="4">
        <f t="shared" si="9"/>
        <v>3.5000000000000001E-3</v>
      </c>
    </row>
    <row r="49" spans="1:19" x14ac:dyDescent="0.45">
      <c r="A49" s="1" t="s">
        <v>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9" x14ac:dyDescent="0.45">
      <c r="A50" s="1"/>
      <c r="B50" s="1">
        <v>1</v>
      </c>
      <c r="C50" s="1">
        <v>2</v>
      </c>
      <c r="D50" s="1">
        <v>3</v>
      </c>
      <c r="E50" s="1">
        <v>4</v>
      </c>
      <c r="F50" s="1">
        <v>5</v>
      </c>
      <c r="G50" s="1">
        <v>6</v>
      </c>
      <c r="H50" s="1">
        <v>7</v>
      </c>
      <c r="I50" s="1">
        <v>8</v>
      </c>
      <c r="J50" s="1">
        <v>9</v>
      </c>
      <c r="K50" s="1">
        <v>10</v>
      </c>
      <c r="L50" s="1">
        <v>11</v>
      </c>
      <c r="M50" s="1">
        <v>12</v>
      </c>
      <c r="N50" s="1">
        <v>13</v>
      </c>
      <c r="O50" s="1">
        <v>14</v>
      </c>
      <c r="P50" s="1">
        <v>15</v>
      </c>
    </row>
    <row r="51" spans="1:19" x14ac:dyDescent="0.45">
      <c r="A51" s="1" t="s">
        <v>18</v>
      </c>
      <c r="B51" s="2">
        <v>-0.1</v>
      </c>
      <c r="C51" s="2">
        <v>0.04</v>
      </c>
      <c r="D51" s="2">
        <v>0.18</v>
      </c>
      <c r="E51" s="2">
        <v>0.32</v>
      </c>
      <c r="F51" s="2">
        <v>0.46</v>
      </c>
      <c r="G51" s="2">
        <v>0.6</v>
      </c>
      <c r="H51" s="2">
        <v>0.74</v>
      </c>
      <c r="I51" s="2">
        <v>0.88</v>
      </c>
      <c r="J51" s="2">
        <v>1.02</v>
      </c>
      <c r="K51" s="2">
        <v>1.1599999999999999</v>
      </c>
      <c r="L51" s="2">
        <v>1.3</v>
      </c>
      <c r="M51" s="2">
        <v>1.44</v>
      </c>
      <c r="N51" s="2">
        <v>1.58</v>
      </c>
      <c r="O51" s="2">
        <v>1.72</v>
      </c>
      <c r="P51" s="2">
        <v>1.86</v>
      </c>
    </row>
    <row r="52" spans="1:19" x14ac:dyDescent="0.45">
      <c r="A52" s="1" t="s">
        <v>2</v>
      </c>
      <c r="B52" s="1">
        <v>1.7000000000000001E-2</v>
      </c>
      <c r="C52" s="1">
        <v>6.6000000000000003E-2</v>
      </c>
      <c r="D52" s="1">
        <v>0.16800000000000001</v>
      </c>
      <c r="E52" s="1">
        <v>0.35499999999999998</v>
      </c>
      <c r="F52" s="1">
        <v>0.625</v>
      </c>
      <c r="G52" s="1">
        <v>0.91700000000000004</v>
      </c>
      <c r="H52" s="1">
        <v>1.141</v>
      </c>
      <c r="I52" s="1">
        <v>1.1060000000000001</v>
      </c>
      <c r="J52" s="1">
        <v>0.91700000000000004</v>
      </c>
      <c r="K52" s="1">
        <v>0.64400000000000002</v>
      </c>
      <c r="L52" s="1">
        <v>0.38800000000000001</v>
      </c>
      <c r="M52" s="1">
        <v>0.191</v>
      </c>
      <c r="N52" s="1">
        <v>8.3000000000000004E-2</v>
      </c>
      <c r="O52" s="1">
        <v>3.1E-2</v>
      </c>
      <c r="P52" s="1">
        <v>1.2E-2</v>
      </c>
    </row>
    <row r="53" spans="1:19" x14ac:dyDescent="0.45">
      <c r="A53" s="1" t="s">
        <v>3</v>
      </c>
      <c r="B53" s="1">
        <v>1.9E-2</v>
      </c>
      <c r="C53" s="1">
        <v>6.7000000000000004E-2</v>
      </c>
      <c r="D53" s="1">
        <v>0.17</v>
      </c>
      <c r="E53" s="1">
        <v>0.35699999999999998</v>
      </c>
      <c r="F53" s="1">
        <v>0.627</v>
      </c>
      <c r="G53" s="1">
        <v>0.92</v>
      </c>
      <c r="H53" s="1">
        <v>1.151</v>
      </c>
      <c r="I53" s="1">
        <v>1.115</v>
      </c>
      <c r="J53" s="1">
        <v>0.92200000000000004</v>
      </c>
      <c r="K53" s="1">
        <v>0.64500000000000002</v>
      </c>
      <c r="L53" s="1">
        <v>0.39100000000000001</v>
      </c>
      <c r="M53" s="1">
        <v>0.193</v>
      </c>
      <c r="N53" s="1">
        <v>8.4000000000000005E-2</v>
      </c>
      <c r="O53" s="1">
        <v>3.2000000000000001E-2</v>
      </c>
      <c r="P53" s="1">
        <v>1.2999999999999999E-2</v>
      </c>
    </row>
    <row r="54" spans="1:19" x14ac:dyDescent="0.45">
      <c r="A54" s="1" t="s">
        <v>8</v>
      </c>
      <c r="B54" s="3">
        <f>(B52+B53)/2</f>
        <v>1.8000000000000002E-2</v>
      </c>
      <c r="C54" s="3">
        <f t="shared" ref="C54:P54" si="10">(C52+C53)/2</f>
        <v>6.6500000000000004E-2</v>
      </c>
      <c r="D54" s="3">
        <f t="shared" si="10"/>
        <v>0.16900000000000001</v>
      </c>
      <c r="E54" s="3">
        <f t="shared" si="10"/>
        <v>0.35599999999999998</v>
      </c>
      <c r="F54" s="3">
        <f t="shared" si="10"/>
        <v>0.626</v>
      </c>
      <c r="G54" s="3">
        <f t="shared" si="10"/>
        <v>0.91850000000000009</v>
      </c>
      <c r="H54" s="3">
        <f t="shared" si="10"/>
        <v>1.1459999999999999</v>
      </c>
      <c r="I54" s="3">
        <f t="shared" si="10"/>
        <v>1.1105</v>
      </c>
      <c r="J54" s="3">
        <f t="shared" si="10"/>
        <v>0.91949999999999998</v>
      </c>
      <c r="K54" s="3">
        <f t="shared" si="10"/>
        <v>0.64450000000000007</v>
      </c>
      <c r="L54" s="3">
        <f t="shared" si="10"/>
        <v>0.38950000000000001</v>
      </c>
      <c r="M54" s="3">
        <f t="shared" si="10"/>
        <v>0.192</v>
      </c>
      <c r="N54" s="3">
        <f t="shared" si="10"/>
        <v>8.3500000000000005E-2</v>
      </c>
      <c r="O54" s="3">
        <f t="shared" si="10"/>
        <v>3.15E-2</v>
      </c>
      <c r="P54" s="3">
        <f t="shared" si="10"/>
        <v>1.2500000000000001E-2</v>
      </c>
    </row>
    <row r="55" spans="1:19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9" x14ac:dyDescent="0.45">
      <c r="A56" s="1"/>
      <c r="B56" s="1">
        <v>2.1000000000000001E-2</v>
      </c>
      <c r="C56" s="1">
        <v>6.9000000000000006E-2</v>
      </c>
      <c r="D56" s="1">
        <v>0.16700000000000001</v>
      </c>
      <c r="E56" s="1">
        <v>0.36399999999999999</v>
      </c>
      <c r="F56" s="1">
        <v>0.61799999999999999</v>
      </c>
      <c r="G56" s="1">
        <v>0.91800000000000004</v>
      </c>
      <c r="H56" s="1">
        <v>1.095</v>
      </c>
      <c r="I56" s="1">
        <v>1.0920000000000001</v>
      </c>
      <c r="J56" s="1">
        <v>0.88400000000000001</v>
      </c>
      <c r="K56" s="1">
        <v>0.622</v>
      </c>
      <c r="L56" s="1">
        <v>0.376</v>
      </c>
      <c r="M56" s="1">
        <v>0.17899999999999999</v>
      </c>
      <c r="N56" s="1">
        <v>7.9000000000000001E-2</v>
      </c>
      <c r="O56" s="1">
        <v>3.2000000000000001E-2</v>
      </c>
      <c r="P56" s="1">
        <v>1.0999999999999999E-2</v>
      </c>
    </row>
    <row r="57" spans="1:19" x14ac:dyDescent="0.45">
      <c r="A57" s="1"/>
      <c r="B57" s="1">
        <v>2.1999999999999999E-2</v>
      </c>
      <c r="C57" s="1">
        <v>7.0000000000000007E-2</v>
      </c>
      <c r="D57" s="1">
        <v>0.17</v>
      </c>
      <c r="E57" s="1">
        <v>0.36599999999999999</v>
      </c>
      <c r="F57" s="1">
        <v>0.624</v>
      </c>
      <c r="G57" s="1">
        <v>0.92500000000000004</v>
      </c>
      <c r="H57" s="1">
        <v>1.1060000000000001</v>
      </c>
      <c r="I57" s="1">
        <v>1.0960000000000001</v>
      </c>
      <c r="J57" s="1">
        <v>0.89100000000000001</v>
      </c>
      <c r="K57" s="1">
        <v>0.626</v>
      </c>
      <c r="L57" s="1">
        <v>0.38</v>
      </c>
      <c r="M57" s="1">
        <v>0.18099999999999999</v>
      </c>
      <c r="N57" s="1">
        <v>0.08</v>
      </c>
      <c r="O57" s="1">
        <v>3.3000000000000002E-2</v>
      </c>
      <c r="P57" s="1">
        <v>1.2E-2</v>
      </c>
    </row>
    <row r="58" spans="1:19" x14ac:dyDescent="0.45">
      <c r="A58" t="s">
        <v>8</v>
      </c>
      <c r="B58" s="7">
        <f>(B56+B57)/2</f>
        <v>2.1499999999999998E-2</v>
      </c>
      <c r="C58" s="7">
        <f t="shared" ref="C58:P58" si="11">(C56+C57)/2</f>
        <v>6.9500000000000006E-2</v>
      </c>
      <c r="D58" s="7">
        <f t="shared" si="11"/>
        <v>0.16850000000000001</v>
      </c>
      <c r="E58" s="7">
        <f t="shared" si="11"/>
        <v>0.36499999999999999</v>
      </c>
      <c r="F58" s="7">
        <f t="shared" si="11"/>
        <v>0.621</v>
      </c>
      <c r="G58" s="7">
        <f t="shared" si="11"/>
        <v>0.92149999999999999</v>
      </c>
      <c r="H58" s="7">
        <f t="shared" si="11"/>
        <v>1.1005</v>
      </c>
      <c r="I58" s="7">
        <f t="shared" si="11"/>
        <v>1.0940000000000001</v>
      </c>
      <c r="J58" s="7">
        <f t="shared" si="11"/>
        <v>0.88749999999999996</v>
      </c>
      <c r="K58" s="7">
        <f t="shared" si="11"/>
        <v>0.624</v>
      </c>
      <c r="L58" s="7">
        <f t="shared" si="11"/>
        <v>0.378</v>
      </c>
      <c r="M58" s="7">
        <f t="shared" si="11"/>
        <v>0.18</v>
      </c>
      <c r="N58" s="7">
        <f t="shared" si="11"/>
        <v>7.9500000000000001E-2</v>
      </c>
      <c r="O58" s="7">
        <f t="shared" si="11"/>
        <v>3.2500000000000001E-2</v>
      </c>
      <c r="P58" s="7">
        <f t="shared" si="11"/>
        <v>1.15E-2</v>
      </c>
    </row>
    <row r="59" spans="1:19" x14ac:dyDescent="0.45">
      <c r="A59" t="s">
        <v>9</v>
      </c>
      <c r="B59" s="8">
        <f>(B54+B58)/2</f>
        <v>1.975E-2</v>
      </c>
      <c r="C59" s="8">
        <f t="shared" ref="C59:P59" si="12">(C54+C58)/2</f>
        <v>6.8000000000000005E-2</v>
      </c>
      <c r="D59" s="8">
        <f t="shared" si="12"/>
        <v>0.16875000000000001</v>
      </c>
      <c r="E59" s="8">
        <f t="shared" si="12"/>
        <v>0.36049999999999999</v>
      </c>
      <c r="F59" s="8">
        <f t="shared" si="12"/>
        <v>0.62349999999999994</v>
      </c>
      <c r="G59" s="8">
        <f t="shared" si="12"/>
        <v>0.92</v>
      </c>
      <c r="H59" s="8">
        <f t="shared" si="12"/>
        <v>1.1232500000000001</v>
      </c>
      <c r="I59" s="8">
        <f t="shared" si="12"/>
        <v>1.1022500000000002</v>
      </c>
      <c r="J59" s="8">
        <f t="shared" si="12"/>
        <v>0.90349999999999997</v>
      </c>
      <c r="K59" s="8">
        <f t="shared" si="12"/>
        <v>0.63424999999999998</v>
      </c>
      <c r="L59" s="8">
        <f t="shared" si="12"/>
        <v>0.38375000000000004</v>
      </c>
      <c r="M59" s="8">
        <f t="shared" si="12"/>
        <v>0.186</v>
      </c>
      <c r="N59" s="8">
        <f t="shared" si="12"/>
        <v>8.1500000000000003E-2</v>
      </c>
      <c r="O59" s="8">
        <f t="shared" si="12"/>
        <v>3.2000000000000001E-2</v>
      </c>
      <c r="P59" s="8">
        <f t="shared" si="12"/>
        <v>1.2E-2</v>
      </c>
    </row>
    <row r="63" spans="1:19" x14ac:dyDescent="0.45">
      <c r="A63" s="1" t="s">
        <v>19</v>
      </c>
      <c r="B63" s="1"/>
      <c r="C63" s="9">
        <v>1</v>
      </c>
      <c r="D63" s="9">
        <v>2</v>
      </c>
      <c r="E63" s="9">
        <v>3</v>
      </c>
      <c r="F63" s="9">
        <v>4</v>
      </c>
      <c r="G63" s="9">
        <v>5</v>
      </c>
      <c r="H63" s="9">
        <v>6</v>
      </c>
      <c r="I63" s="9">
        <v>7</v>
      </c>
      <c r="J63" s="9">
        <v>8</v>
      </c>
      <c r="K63" s="9">
        <v>9</v>
      </c>
      <c r="L63" s="9">
        <v>10</v>
      </c>
      <c r="M63" s="9">
        <v>11</v>
      </c>
      <c r="N63" s="9">
        <v>12</v>
      </c>
      <c r="O63" s="9">
        <v>13</v>
      </c>
      <c r="P63" s="9">
        <v>14</v>
      </c>
      <c r="Q63" s="9">
        <v>15</v>
      </c>
      <c r="R63" s="9">
        <v>16</v>
      </c>
      <c r="S63" s="9">
        <v>17</v>
      </c>
    </row>
    <row r="64" spans="1:19" x14ac:dyDescent="0.45">
      <c r="A64" s="1"/>
      <c r="B64" s="1"/>
      <c r="C64" s="10">
        <v>-1.6</v>
      </c>
      <c r="D64" s="10">
        <v>-1.4</v>
      </c>
      <c r="E64" s="10">
        <v>-1.2</v>
      </c>
      <c r="F64" s="10">
        <v>-1</v>
      </c>
      <c r="G64" s="10">
        <v>-0.8</v>
      </c>
      <c r="H64" s="10">
        <v>-0.6</v>
      </c>
      <c r="I64" s="10">
        <v>-0.4</v>
      </c>
      <c r="J64" s="10">
        <v>-0.2</v>
      </c>
      <c r="K64" s="10">
        <v>0</v>
      </c>
      <c r="L64" s="10">
        <v>0.2</v>
      </c>
      <c r="M64" s="10">
        <v>0.4</v>
      </c>
      <c r="N64" s="10">
        <v>0.6</v>
      </c>
      <c r="O64" s="10">
        <v>0.8</v>
      </c>
      <c r="P64" s="10">
        <v>1</v>
      </c>
      <c r="Q64" s="10">
        <v>1.2</v>
      </c>
      <c r="R64" s="10">
        <v>1.4</v>
      </c>
      <c r="S64" s="10">
        <v>1.6</v>
      </c>
    </row>
    <row r="65" spans="1:19" x14ac:dyDescent="0.45">
      <c r="A65" s="15" t="s">
        <v>5</v>
      </c>
      <c r="B65" s="1" t="s">
        <v>2</v>
      </c>
      <c r="C65" s="11">
        <v>3.0000000000000001E-3</v>
      </c>
      <c r="D65" s="11">
        <v>0.01</v>
      </c>
      <c r="E65" s="11">
        <v>4.1000000000000002E-2</v>
      </c>
      <c r="F65" s="11">
        <v>0.111</v>
      </c>
      <c r="G65" s="11">
        <v>0.247</v>
      </c>
      <c r="H65" s="11">
        <v>0.45400000000000001</v>
      </c>
      <c r="I65" s="11">
        <v>0.70399999999999996</v>
      </c>
      <c r="J65" s="11">
        <v>0.92</v>
      </c>
      <c r="K65" s="11">
        <v>1.08</v>
      </c>
      <c r="L65" s="11">
        <v>1.079</v>
      </c>
      <c r="M65" s="11">
        <v>0.94499999999999995</v>
      </c>
      <c r="N65" s="11">
        <v>0.70899999999999996</v>
      </c>
      <c r="O65" s="11">
        <v>0.46700000000000003</v>
      </c>
      <c r="P65" s="11">
        <v>0.27300000000000002</v>
      </c>
      <c r="Q65" s="11">
        <v>0.14000000000000001</v>
      </c>
      <c r="R65" s="11">
        <v>6.7000000000000004E-2</v>
      </c>
      <c r="S65" s="11">
        <v>3.2000000000000001E-2</v>
      </c>
    </row>
    <row r="66" spans="1:19" x14ac:dyDescent="0.45">
      <c r="A66" s="15"/>
      <c r="B66" s="1" t="s">
        <v>12</v>
      </c>
      <c r="C66" s="11">
        <v>5.0000000000000001E-3</v>
      </c>
      <c r="D66" s="11">
        <v>1.2E-2</v>
      </c>
      <c r="E66" s="11">
        <v>4.2000000000000003E-2</v>
      </c>
      <c r="F66" s="11">
        <v>0.115</v>
      </c>
      <c r="G66" s="11">
        <v>0.249</v>
      </c>
      <c r="H66" s="11">
        <v>0.46</v>
      </c>
      <c r="I66" s="11">
        <v>0.71099999999999997</v>
      </c>
      <c r="J66" s="11">
        <v>0.92900000000000005</v>
      </c>
      <c r="K66" s="11">
        <v>1.0820000000000001</v>
      </c>
      <c r="L66" s="11">
        <v>1.083</v>
      </c>
      <c r="M66" s="11">
        <v>0.95299999999999996</v>
      </c>
      <c r="N66" s="11">
        <v>0.71799999999999997</v>
      </c>
      <c r="O66" s="11">
        <v>0.47199999999999998</v>
      </c>
      <c r="P66" s="11">
        <v>0.28299999999999997</v>
      </c>
      <c r="Q66" s="11">
        <v>0.14199999999999999</v>
      </c>
      <c r="R66" s="11">
        <v>6.9000000000000006E-2</v>
      </c>
      <c r="S66" s="11">
        <v>3.3000000000000002E-2</v>
      </c>
    </row>
    <row r="67" spans="1:19" x14ac:dyDescent="0.45">
      <c r="A67" s="1"/>
      <c r="B67" s="1" t="s">
        <v>6</v>
      </c>
      <c r="C67" s="12">
        <f>(C65+C66)/2</f>
        <v>4.0000000000000001E-3</v>
      </c>
      <c r="D67" s="12">
        <f t="shared" ref="D67:R67" si="13">(D65+D66)/2</f>
        <v>1.0999999999999999E-2</v>
      </c>
      <c r="E67" s="12">
        <f t="shared" si="13"/>
        <v>4.1500000000000002E-2</v>
      </c>
      <c r="F67" s="12">
        <f t="shared" si="13"/>
        <v>0.113</v>
      </c>
      <c r="G67" s="12">
        <f t="shared" si="13"/>
        <v>0.248</v>
      </c>
      <c r="H67" s="12">
        <f t="shared" si="13"/>
        <v>0.45700000000000002</v>
      </c>
      <c r="I67" s="12">
        <f t="shared" si="13"/>
        <v>0.70750000000000002</v>
      </c>
      <c r="J67" s="12">
        <f t="shared" si="13"/>
        <v>0.9245000000000001</v>
      </c>
      <c r="K67" s="12">
        <f t="shared" si="13"/>
        <v>1.081</v>
      </c>
      <c r="L67" s="12">
        <f t="shared" si="13"/>
        <v>1.081</v>
      </c>
      <c r="M67" s="12">
        <f t="shared" si="13"/>
        <v>0.94899999999999995</v>
      </c>
      <c r="N67" s="12">
        <f t="shared" si="13"/>
        <v>0.71350000000000002</v>
      </c>
      <c r="O67" s="12">
        <f t="shared" si="13"/>
        <v>0.46950000000000003</v>
      </c>
      <c r="P67" s="12">
        <f t="shared" si="13"/>
        <v>0.27800000000000002</v>
      </c>
      <c r="Q67" s="12">
        <f t="shared" si="13"/>
        <v>0.14100000000000001</v>
      </c>
      <c r="R67" s="12">
        <f t="shared" si="13"/>
        <v>6.8000000000000005E-2</v>
      </c>
      <c r="S67" s="12">
        <f>(S65+S66)/2</f>
        <v>3.2500000000000001E-2</v>
      </c>
    </row>
    <row r="68" spans="1:19" x14ac:dyDescent="0.45">
      <c r="A68" s="15" t="s">
        <v>13</v>
      </c>
      <c r="B68" s="1" t="s">
        <v>2</v>
      </c>
      <c r="C68" s="11">
        <v>3.0000000000000001E-3</v>
      </c>
      <c r="D68" s="11">
        <v>0.01</v>
      </c>
      <c r="E68" s="11">
        <v>3.6999999999999998E-2</v>
      </c>
      <c r="F68" s="11">
        <v>0.10199999999999999</v>
      </c>
      <c r="G68" s="11">
        <v>0.22500000000000001</v>
      </c>
      <c r="H68" s="11">
        <v>0.432</v>
      </c>
      <c r="I68" s="11">
        <v>0.67900000000000005</v>
      </c>
      <c r="J68" s="11">
        <v>0.90300000000000002</v>
      </c>
      <c r="K68" s="11">
        <v>1.0669999999999999</v>
      </c>
      <c r="L68" s="11">
        <v>1.0780000000000001</v>
      </c>
      <c r="M68" s="11">
        <v>0.95799999999999996</v>
      </c>
      <c r="N68" s="11">
        <v>0.72599999999999998</v>
      </c>
      <c r="O68" s="11">
        <v>0.48299999999999998</v>
      </c>
      <c r="P68" s="11">
        <v>0.28599999999999998</v>
      </c>
      <c r="Q68" s="11">
        <v>0.151</v>
      </c>
      <c r="R68" s="11">
        <v>6.9000000000000006E-2</v>
      </c>
      <c r="S68" s="11">
        <v>3.2000000000000001E-2</v>
      </c>
    </row>
    <row r="69" spans="1:19" x14ac:dyDescent="0.45">
      <c r="A69" s="15"/>
      <c r="B69" s="1" t="s">
        <v>12</v>
      </c>
      <c r="C69" s="11">
        <v>3.0000000000000001E-3</v>
      </c>
      <c r="D69" s="11">
        <v>1.0999999999999999E-2</v>
      </c>
      <c r="E69" s="11">
        <v>3.7999999999999999E-2</v>
      </c>
      <c r="F69" s="11">
        <v>0.107</v>
      </c>
      <c r="G69" s="11">
        <v>0.23200000000000001</v>
      </c>
      <c r="H69" s="11">
        <v>0.443</v>
      </c>
      <c r="I69" s="11">
        <v>0.68300000000000005</v>
      </c>
      <c r="J69" s="11">
        <v>0.90800000000000003</v>
      </c>
      <c r="K69" s="11">
        <v>1.071</v>
      </c>
      <c r="L69" s="11">
        <v>1.081</v>
      </c>
      <c r="M69" s="11">
        <v>0.96399999999999997</v>
      </c>
      <c r="N69" s="11">
        <v>0.73099999999999998</v>
      </c>
      <c r="O69" s="11">
        <v>0.48799999999999999</v>
      </c>
      <c r="P69" s="11">
        <v>0.28999999999999998</v>
      </c>
      <c r="Q69" s="11">
        <v>0.154</v>
      </c>
      <c r="R69" s="11">
        <v>7.0999999999999994E-2</v>
      </c>
      <c r="S69" s="11">
        <v>3.4000000000000002E-2</v>
      </c>
    </row>
    <row r="70" spans="1:19" x14ac:dyDescent="0.45">
      <c r="A70" s="5"/>
      <c r="B70" s="1" t="s">
        <v>6</v>
      </c>
      <c r="C70" s="12">
        <f>(C68+C69)/2</f>
        <v>3.0000000000000001E-3</v>
      </c>
      <c r="D70" s="12">
        <f t="shared" ref="D70:S70" si="14">(D68+D69)/2</f>
        <v>1.0499999999999999E-2</v>
      </c>
      <c r="E70" s="12">
        <f t="shared" si="14"/>
        <v>3.7499999999999999E-2</v>
      </c>
      <c r="F70" s="12">
        <f t="shared" si="14"/>
        <v>0.1045</v>
      </c>
      <c r="G70" s="12">
        <f t="shared" si="14"/>
        <v>0.22850000000000001</v>
      </c>
      <c r="H70" s="12">
        <f t="shared" si="14"/>
        <v>0.4375</v>
      </c>
      <c r="I70" s="12">
        <f t="shared" si="14"/>
        <v>0.68100000000000005</v>
      </c>
      <c r="J70" s="12">
        <f t="shared" si="14"/>
        <v>0.90549999999999997</v>
      </c>
      <c r="K70" s="12">
        <f t="shared" si="14"/>
        <v>1.069</v>
      </c>
      <c r="L70" s="12">
        <f t="shared" si="14"/>
        <v>1.0794999999999999</v>
      </c>
      <c r="M70" s="12">
        <f t="shared" si="14"/>
        <v>0.96099999999999997</v>
      </c>
      <c r="N70" s="12">
        <f t="shared" si="14"/>
        <v>0.72849999999999993</v>
      </c>
      <c r="O70" s="12">
        <f t="shared" si="14"/>
        <v>0.48549999999999999</v>
      </c>
      <c r="P70" s="12">
        <f t="shared" si="14"/>
        <v>0.28799999999999998</v>
      </c>
      <c r="Q70" s="12">
        <f t="shared" si="14"/>
        <v>0.1525</v>
      </c>
      <c r="R70" s="12">
        <f t="shared" si="14"/>
        <v>7.0000000000000007E-2</v>
      </c>
      <c r="S70" s="12">
        <f t="shared" si="14"/>
        <v>3.3000000000000002E-2</v>
      </c>
    </row>
    <row r="71" spans="1:19" x14ac:dyDescent="0.45">
      <c r="A71" s="5" t="s">
        <v>9</v>
      </c>
      <c r="B71" s="1"/>
      <c r="C71" s="13">
        <f>(C67+C70)/2</f>
        <v>3.5000000000000001E-3</v>
      </c>
      <c r="D71" s="13">
        <f t="shared" ref="D71:S71" si="15">(D67+D70)/2</f>
        <v>1.0749999999999999E-2</v>
      </c>
      <c r="E71" s="13">
        <f t="shared" si="15"/>
        <v>3.95E-2</v>
      </c>
      <c r="F71" s="13">
        <f t="shared" si="15"/>
        <v>0.10875</v>
      </c>
      <c r="G71" s="13">
        <f t="shared" si="15"/>
        <v>0.23825000000000002</v>
      </c>
      <c r="H71" s="13">
        <f t="shared" si="15"/>
        <v>0.44725000000000004</v>
      </c>
      <c r="I71" s="13">
        <f t="shared" si="15"/>
        <v>0.69425000000000003</v>
      </c>
      <c r="J71" s="13">
        <f t="shared" si="15"/>
        <v>0.91500000000000004</v>
      </c>
      <c r="K71" s="13">
        <f t="shared" si="15"/>
        <v>1.075</v>
      </c>
      <c r="L71" s="13">
        <f t="shared" si="15"/>
        <v>1.0802499999999999</v>
      </c>
      <c r="M71" s="13">
        <f t="shared" si="15"/>
        <v>0.95499999999999996</v>
      </c>
      <c r="N71" s="13">
        <f t="shared" si="15"/>
        <v>0.72099999999999997</v>
      </c>
      <c r="O71" s="13">
        <f t="shared" si="15"/>
        <v>0.47750000000000004</v>
      </c>
      <c r="P71" s="13">
        <f t="shared" si="15"/>
        <v>0.28300000000000003</v>
      </c>
      <c r="Q71" s="13">
        <f t="shared" si="15"/>
        <v>0.14674999999999999</v>
      </c>
      <c r="R71" s="13">
        <f t="shared" si="15"/>
        <v>6.9000000000000006E-2</v>
      </c>
      <c r="S71" s="13">
        <f t="shared" si="15"/>
        <v>3.2750000000000001E-2</v>
      </c>
    </row>
    <row r="72" spans="1:19" x14ac:dyDescent="0.45">
      <c r="A72" s="5"/>
      <c r="B72" s="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45">
      <c r="A73" s="5"/>
      <c r="B73" s="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45">
      <c r="A74" s="1" t="s">
        <v>20</v>
      </c>
      <c r="B74" s="1"/>
      <c r="C74" s="11" t="s">
        <v>11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45">
      <c r="A75" s="1"/>
      <c r="B75" s="1"/>
      <c r="C75" s="10">
        <v>0</v>
      </c>
      <c r="D75" s="10">
        <v>0.6</v>
      </c>
      <c r="E75" s="10">
        <v>1.2</v>
      </c>
      <c r="F75" s="10">
        <v>1.8</v>
      </c>
      <c r="G75" s="10">
        <v>2.4</v>
      </c>
      <c r="H75" s="10">
        <v>3</v>
      </c>
      <c r="I75" s="10">
        <v>3.6</v>
      </c>
      <c r="J75" s="10">
        <v>4.2</v>
      </c>
      <c r="K75" s="10">
        <v>4.8</v>
      </c>
      <c r="L75" s="10">
        <v>5.4</v>
      </c>
      <c r="M75" s="10">
        <v>6</v>
      </c>
      <c r="N75" s="10">
        <v>6.6</v>
      </c>
      <c r="O75" s="10">
        <v>7.2</v>
      </c>
      <c r="P75" s="10">
        <v>7.8</v>
      </c>
      <c r="Q75" s="10">
        <v>8.4</v>
      </c>
      <c r="R75" s="10">
        <v>9</v>
      </c>
      <c r="S75" s="11"/>
    </row>
    <row r="76" spans="1:19" x14ac:dyDescent="0.45">
      <c r="A76" s="5" t="s">
        <v>5</v>
      </c>
      <c r="B76" s="1" t="s">
        <v>2</v>
      </c>
      <c r="C76" s="11">
        <v>5.0000000000000001E-3</v>
      </c>
      <c r="D76" s="11">
        <v>1.6E-2</v>
      </c>
      <c r="E76" s="11">
        <v>4.8000000000000001E-2</v>
      </c>
      <c r="F76" s="11">
        <v>0.125</v>
      </c>
      <c r="G76" s="11">
        <v>0.27700000000000002</v>
      </c>
      <c r="H76" s="11">
        <v>0.495</v>
      </c>
      <c r="I76" s="11">
        <v>0.72599999999999998</v>
      </c>
      <c r="J76" s="11">
        <v>0.82399999999999995</v>
      </c>
      <c r="K76" s="11">
        <v>0.76700000000000002</v>
      </c>
      <c r="L76" s="11">
        <v>0.58599999999999997</v>
      </c>
      <c r="M76" s="11">
        <v>0.36299999999999999</v>
      </c>
      <c r="N76" s="11">
        <v>0.16600000000000001</v>
      </c>
      <c r="O76" s="11">
        <v>5.6000000000000001E-2</v>
      </c>
      <c r="P76" s="11">
        <v>1.2E-2</v>
      </c>
      <c r="Q76" s="11">
        <v>3.0000000000000001E-3</v>
      </c>
      <c r="R76" s="11">
        <v>1E-3</v>
      </c>
      <c r="S76" s="11"/>
    </row>
    <row r="77" spans="1:19" x14ac:dyDescent="0.45">
      <c r="A77" s="5"/>
      <c r="B77" s="1" t="s">
        <v>12</v>
      </c>
      <c r="C77" s="11">
        <v>5.0000000000000001E-3</v>
      </c>
      <c r="D77" s="11">
        <v>1.7000000000000001E-2</v>
      </c>
      <c r="E77" s="11">
        <v>0.05</v>
      </c>
      <c r="F77" s="11">
        <v>0.13</v>
      </c>
      <c r="G77" s="11">
        <v>0.28399999999999997</v>
      </c>
      <c r="H77" s="11">
        <v>0.499</v>
      </c>
      <c r="I77" s="11">
        <v>0.73799999999999999</v>
      </c>
      <c r="J77" s="11">
        <v>0.82899999999999996</v>
      </c>
      <c r="K77" s="11">
        <v>0.77200000000000002</v>
      </c>
      <c r="L77" s="11">
        <v>0.59299999999999997</v>
      </c>
      <c r="M77" s="11">
        <v>0.36699999999999999</v>
      </c>
      <c r="N77" s="11">
        <v>0.16900000000000001</v>
      </c>
      <c r="O77" s="11">
        <v>5.8000000000000003E-2</v>
      </c>
      <c r="P77" s="11">
        <v>1.4E-2</v>
      </c>
      <c r="Q77" s="11">
        <v>3.0000000000000001E-3</v>
      </c>
      <c r="R77" s="11">
        <v>1E-3</v>
      </c>
      <c r="S77" s="11"/>
    </row>
    <row r="78" spans="1:19" x14ac:dyDescent="0.45">
      <c r="A78" s="1"/>
      <c r="B78" s="1" t="s">
        <v>6</v>
      </c>
      <c r="C78" s="12">
        <f>(C76+C77)/2</f>
        <v>5.0000000000000001E-3</v>
      </c>
      <c r="D78" s="12">
        <f t="shared" ref="D78:R78" si="16">(D76+D77)/2</f>
        <v>1.6500000000000001E-2</v>
      </c>
      <c r="E78" s="12">
        <f t="shared" si="16"/>
        <v>4.9000000000000002E-2</v>
      </c>
      <c r="F78" s="12">
        <f t="shared" si="16"/>
        <v>0.1275</v>
      </c>
      <c r="G78" s="12">
        <f t="shared" si="16"/>
        <v>0.28049999999999997</v>
      </c>
      <c r="H78" s="12">
        <f t="shared" si="16"/>
        <v>0.497</v>
      </c>
      <c r="I78" s="12">
        <f t="shared" si="16"/>
        <v>0.73199999999999998</v>
      </c>
      <c r="J78" s="12">
        <f t="shared" si="16"/>
        <v>0.82650000000000001</v>
      </c>
      <c r="K78" s="12">
        <f t="shared" si="16"/>
        <v>0.76950000000000007</v>
      </c>
      <c r="L78" s="12">
        <f t="shared" si="16"/>
        <v>0.58949999999999991</v>
      </c>
      <c r="M78" s="12">
        <f t="shared" si="16"/>
        <v>0.36499999999999999</v>
      </c>
      <c r="N78" s="12">
        <f t="shared" si="16"/>
        <v>0.16750000000000001</v>
      </c>
      <c r="O78" s="12">
        <f t="shared" si="16"/>
        <v>5.7000000000000002E-2</v>
      </c>
      <c r="P78" s="12">
        <f t="shared" si="16"/>
        <v>1.3000000000000001E-2</v>
      </c>
      <c r="Q78" s="12">
        <f t="shared" si="16"/>
        <v>3.0000000000000001E-3</v>
      </c>
      <c r="R78" s="12">
        <f t="shared" si="16"/>
        <v>1E-3</v>
      </c>
      <c r="S78" s="11"/>
    </row>
    <row r="79" spans="1:19" x14ac:dyDescent="0.45">
      <c r="A79" s="5" t="s">
        <v>13</v>
      </c>
      <c r="B79" s="1" t="s">
        <v>2</v>
      </c>
      <c r="C79" s="11">
        <v>5.0000000000000001E-3</v>
      </c>
      <c r="D79" s="11">
        <v>2.1000000000000001E-2</v>
      </c>
      <c r="E79" s="11">
        <v>0.06</v>
      </c>
      <c r="F79" s="11">
        <v>0.157</v>
      </c>
      <c r="G79" s="11">
        <v>0.34499999999999997</v>
      </c>
      <c r="H79" s="11">
        <v>0.58899999999999997</v>
      </c>
      <c r="I79" s="11">
        <v>0.86499999999999999</v>
      </c>
      <c r="J79" s="11">
        <v>0.97499999999999998</v>
      </c>
      <c r="K79" s="11">
        <v>0.90800000000000003</v>
      </c>
      <c r="L79" s="11">
        <v>0.69699999999999995</v>
      </c>
      <c r="M79" s="11">
        <v>0.436</v>
      </c>
      <c r="N79" s="11">
        <v>0.215</v>
      </c>
      <c r="O79" s="11">
        <v>7.1999999999999995E-2</v>
      </c>
      <c r="P79" s="11">
        <v>1.9E-2</v>
      </c>
      <c r="Q79" s="11">
        <v>4.0000000000000001E-3</v>
      </c>
      <c r="R79" s="11">
        <v>1E-3</v>
      </c>
      <c r="S79" s="11"/>
    </row>
    <row r="80" spans="1:19" x14ac:dyDescent="0.45">
      <c r="A80" s="5"/>
      <c r="B80" s="1" t="s">
        <v>12</v>
      </c>
      <c r="C80" s="11">
        <v>6.0000000000000001E-3</v>
      </c>
      <c r="D80" s="11">
        <v>2.1999999999999999E-2</v>
      </c>
      <c r="E80" s="11">
        <v>6.4000000000000001E-2</v>
      </c>
      <c r="F80" s="11">
        <v>0.16500000000000001</v>
      </c>
      <c r="G80" s="11">
        <v>0.35099999999999998</v>
      </c>
      <c r="H80" s="11">
        <v>0.59899999999999998</v>
      </c>
      <c r="I80" s="11">
        <v>0.876</v>
      </c>
      <c r="J80" s="11">
        <v>0.98499999999999999</v>
      </c>
      <c r="K80" s="11">
        <v>0.92</v>
      </c>
      <c r="L80" s="11">
        <v>0.70199999999999996</v>
      </c>
      <c r="M80" s="11">
        <v>0.45</v>
      </c>
      <c r="N80" s="11">
        <v>0.22500000000000001</v>
      </c>
      <c r="O80" s="11">
        <v>7.5999999999999998E-2</v>
      </c>
      <c r="P80" s="11">
        <v>0.02</v>
      </c>
      <c r="Q80" s="11">
        <v>4.0000000000000001E-3</v>
      </c>
      <c r="R80" s="11">
        <v>1E-3</v>
      </c>
      <c r="S80" s="11"/>
    </row>
    <row r="81" spans="1:19" x14ac:dyDescent="0.45">
      <c r="A81" s="5"/>
      <c r="B81" s="1" t="s">
        <v>6</v>
      </c>
      <c r="C81" s="12">
        <f>(C79+C80)/2</f>
        <v>5.4999999999999997E-3</v>
      </c>
      <c r="D81" s="12">
        <f t="shared" ref="D81:R81" si="17">(D79+D80)/2</f>
        <v>2.1499999999999998E-2</v>
      </c>
      <c r="E81" s="12">
        <f t="shared" si="17"/>
        <v>6.2E-2</v>
      </c>
      <c r="F81" s="12">
        <f t="shared" si="17"/>
        <v>0.161</v>
      </c>
      <c r="G81" s="12">
        <f t="shared" si="17"/>
        <v>0.34799999999999998</v>
      </c>
      <c r="H81" s="12">
        <f t="shared" si="17"/>
        <v>0.59399999999999997</v>
      </c>
      <c r="I81" s="12">
        <f t="shared" si="17"/>
        <v>0.87050000000000005</v>
      </c>
      <c r="J81" s="12">
        <f t="shared" si="17"/>
        <v>0.98</v>
      </c>
      <c r="K81" s="12">
        <f t="shared" si="17"/>
        <v>0.91400000000000003</v>
      </c>
      <c r="L81" s="12">
        <f t="shared" si="17"/>
        <v>0.69950000000000001</v>
      </c>
      <c r="M81" s="12">
        <f t="shared" si="17"/>
        <v>0.443</v>
      </c>
      <c r="N81" s="12">
        <f t="shared" si="17"/>
        <v>0.22</v>
      </c>
      <c r="O81" s="12">
        <f t="shared" si="17"/>
        <v>7.3999999999999996E-2</v>
      </c>
      <c r="P81" s="12">
        <f t="shared" si="17"/>
        <v>1.95E-2</v>
      </c>
      <c r="Q81" s="12">
        <f t="shared" si="17"/>
        <v>4.0000000000000001E-3</v>
      </c>
      <c r="R81" s="12">
        <f t="shared" si="17"/>
        <v>1E-3</v>
      </c>
      <c r="S81" s="11"/>
    </row>
    <row r="82" spans="1:19" x14ac:dyDescent="0.45">
      <c r="A82" s="5" t="s">
        <v>16</v>
      </c>
      <c r="B82" s="1"/>
      <c r="C82" s="13">
        <f>(C78+C81)/2</f>
        <v>5.2499999999999995E-3</v>
      </c>
      <c r="D82" s="13">
        <f t="shared" ref="D82:R82" si="18">(D78+D81)/2</f>
        <v>1.9E-2</v>
      </c>
      <c r="E82" s="13">
        <f t="shared" si="18"/>
        <v>5.5500000000000001E-2</v>
      </c>
      <c r="F82" s="13">
        <f t="shared" si="18"/>
        <v>0.14424999999999999</v>
      </c>
      <c r="G82" s="13">
        <f t="shared" si="18"/>
        <v>0.31424999999999997</v>
      </c>
      <c r="H82" s="13">
        <f t="shared" si="18"/>
        <v>0.54549999999999998</v>
      </c>
      <c r="I82" s="13">
        <f t="shared" si="18"/>
        <v>0.80125000000000002</v>
      </c>
      <c r="J82" s="13">
        <f t="shared" si="18"/>
        <v>0.90325</v>
      </c>
      <c r="K82" s="13">
        <f t="shared" si="18"/>
        <v>0.84175</v>
      </c>
      <c r="L82" s="13">
        <f t="shared" si="18"/>
        <v>0.64449999999999996</v>
      </c>
      <c r="M82" s="13">
        <f t="shared" si="18"/>
        <v>0.40400000000000003</v>
      </c>
      <c r="N82" s="13">
        <f t="shared" si="18"/>
        <v>0.19375000000000001</v>
      </c>
      <c r="O82" s="13">
        <f t="shared" si="18"/>
        <v>6.5500000000000003E-2</v>
      </c>
      <c r="P82" s="13">
        <f t="shared" si="18"/>
        <v>1.6250000000000001E-2</v>
      </c>
      <c r="Q82" s="13">
        <f t="shared" si="18"/>
        <v>3.5000000000000001E-3</v>
      </c>
      <c r="R82" s="13">
        <f t="shared" si="18"/>
        <v>1E-3</v>
      </c>
      <c r="S82" s="11"/>
    </row>
    <row r="83" spans="1:19" x14ac:dyDescent="0.45">
      <c r="A83" s="5"/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45">
      <c r="A84" s="5"/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45">
      <c r="A85" s="1" t="s">
        <v>21</v>
      </c>
      <c r="B85" s="1"/>
      <c r="C85" s="11" t="s">
        <v>11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45">
      <c r="A86" s="1"/>
      <c r="B86" s="1"/>
      <c r="C86" s="10">
        <v>0</v>
      </c>
      <c r="D86" s="10">
        <v>0.9</v>
      </c>
      <c r="E86" s="10">
        <v>1.8</v>
      </c>
      <c r="F86" s="10">
        <v>2.7</v>
      </c>
      <c r="G86" s="10">
        <v>3.6</v>
      </c>
      <c r="H86" s="10">
        <v>4.5</v>
      </c>
      <c r="I86" s="10">
        <v>5.4</v>
      </c>
      <c r="J86" s="10">
        <v>6.3</v>
      </c>
      <c r="K86" s="10">
        <v>7.2</v>
      </c>
      <c r="L86" s="10">
        <v>8.1</v>
      </c>
      <c r="M86" s="10">
        <v>9</v>
      </c>
      <c r="N86" s="10">
        <v>9.9</v>
      </c>
      <c r="O86" s="10">
        <v>10.8</v>
      </c>
      <c r="P86" s="10">
        <v>11.7</v>
      </c>
      <c r="Q86" s="10">
        <v>12.6</v>
      </c>
      <c r="R86" s="10">
        <v>13.5</v>
      </c>
      <c r="S86" s="10"/>
    </row>
    <row r="87" spans="1:19" x14ac:dyDescent="0.45">
      <c r="A87" s="5" t="s">
        <v>5</v>
      </c>
      <c r="B87" s="1" t="s">
        <v>2</v>
      </c>
      <c r="C87" s="11">
        <v>1.4999999999999999E-2</v>
      </c>
      <c r="D87" s="11">
        <v>0.04</v>
      </c>
      <c r="E87" s="11">
        <v>9.0999999999999998E-2</v>
      </c>
      <c r="F87" s="11">
        <v>0.19500000000000001</v>
      </c>
      <c r="G87" s="11">
        <v>0.35799999999999998</v>
      </c>
      <c r="H87" s="11">
        <v>0.57399999999999995</v>
      </c>
      <c r="I87" s="11">
        <v>0.78700000000000003</v>
      </c>
      <c r="J87" s="11">
        <v>0.96599999999999997</v>
      </c>
      <c r="K87" s="11">
        <v>1.083</v>
      </c>
      <c r="L87" s="11">
        <v>1.0549999999999999</v>
      </c>
      <c r="M87" s="11">
        <v>0.91700000000000004</v>
      </c>
      <c r="N87" s="11">
        <v>0.69399999999999995</v>
      </c>
      <c r="O87" s="11">
        <v>0.47599999999999998</v>
      </c>
      <c r="P87" s="11">
        <v>0.28199999999999997</v>
      </c>
      <c r="Q87" s="11">
        <v>0.14299999999999999</v>
      </c>
      <c r="R87" s="11">
        <v>5.8000000000000003E-2</v>
      </c>
      <c r="S87" s="11"/>
    </row>
    <row r="88" spans="1:19" x14ac:dyDescent="0.45">
      <c r="A88" s="5"/>
      <c r="B88" s="1" t="s">
        <v>12</v>
      </c>
      <c r="C88" s="11">
        <v>1.6E-2</v>
      </c>
      <c r="D88" s="11">
        <v>4.2000000000000003E-2</v>
      </c>
      <c r="E88" s="11">
        <v>9.2999999999999999E-2</v>
      </c>
      <c r="F88" s="11">
        <v>0.20399999999999999</v>
      </c>
      <c r="G88" s="11">
        <v>0.36499999999999999</v>
      </c>
      <c r="H88" s="11">
        <v>0.58199999999999996</v>
      </c>
      <c r="I88" s="11">
        <v>0.79300000000000004</v>
      </c>
      <c r="J88" s="11">
        <v>0.98899999999999999</v>
      </c>
      <c r="K88" s="11">
        <v>1.0940000000000001</v>
      </c>
      <c r="L88" s="11">
        <v>1.0660000000000001</v>
      </c>
      <c r="M88" s="11">
        <v>0.92700000000000005</v>
      </c>
      <c r="N88" s="11">
        <v>0.70499999999999996</v>
      </c>
      <c r="O88" s="11">
        <v>0.48399999999999999</v>
      </c>
      <c r="P88" s="11">
        <v>0.28599999999999998</v>
      </c>
      <c r="Q88" s="11">
        <v>0.14799999999999999</v>
      </c>
      <c r="R88" s="11">
        <v>6.2E-2</v>
      </c>
      <c r="S88" s="11"/>
    </row>
    <row r="89" spans="1:19" x14ac:dyDescent="0.45">
      <c r="A89" s="1"/>
      <c r="B89" s="1" t="s">
        <v>6</v>
      </c>
      <c r="C89" s="12">
        <f>(C87+C88)/2</f>
        <v>1.55E-2</v>
      </c>
      <c r="D89" s="12">
        <f t="shared" ref="D89:R89" si="19">(D87+D88)/2</f>
        <v>4.1000000000000002E-2</v>
      </c>
      <c r="E89" s="12">
        <f t="shared" si="19"/>
        <v>9.1999999999999998E-2</v>
      </c>
      <c r="F89" s="12">
        <f t="shared" si="19"/>
        <v>0.19950000000000001</v>
      </c>
      <c r="G89" s="12">
        <f t="shared" si="19"/>
        <v>0.36149999999999999</v>
      </c>
      <c r="H89" s="12">
        <f t="shared" si="19"/>
        <v>0.57799999999999996</v>
      </c>
      <c r="I89" s="12">
        <f t="shared" si="19"/>
        <v>0.79</v>
      </c>
      <c r="J89" s="12">
        <f t="shared" si="19"/>
        <v>0.97750000000000004</v>
      </c>
      <c r="K89" s="12">
        <f t="shared" si="19"/>
        <v>1.0885</v>
      </c>
      <c r="L89" s="12">
        <f t="shared" si="19"/>
        <v>1.0605</v>
      </c>
      <c r="M89" s="12">
        <f t="shared" si="19"/>
        <v>0.92200000000000004</v>
      </c>
      <c r="N89" s="12">
        <f t="shared" si="19"/>
        <v>0.69950000000000001</v>
      </c>
      <c r="O89" s="12">
        <f t="shared" si="19"/>
        <v>0.48</v>
      </c>
      <c r="P89" s="12">
        <f t="shared" si="19"/>
        <v>0.28399999999999997</v>
      </c>
      <c r="Q89" s="12">
        <f t="shared" si="19"/>
        <v>0.14549999999999999</v>
      </c>
      <c r="R89" s="12">
        <f t="shared" si="19"/>
        <v>0.06</v>
      </c>
      <c r="S89" s="11"/>
    </row>
    <row r="90" spans="1:19" x14ac:dyDescent="0.45">
      <c r="A90" s="5" t="s">
        <v>13</v>
      </c>
      <c r="B90" s="1" t="s">
        <v>2</v>
      </c>
      <c r="C90" s="11">
        <v>1.4999999999999999E-2</v>
      </c>
      <c r="D90" s="11">
        <v>4.1000000000000002E-2</v>
      </c>
      <c r="E90" s="11">
        <v>8.7999999999999995E-2</v>
      </c>
      <c r="F90" s="11">
        <v>0.186</v>
      </c>
      <c r="G90" s="11">
        <v>0.34399999999999997</v>
      </c>
      <c r="H90" s="11">
        <v>0.56100000000000005</v>
      </c>
      <c r="I90" s="11">
        <v>0.77700000000000002</v>
      </c>
      <c r="J90" s="11">
        <v>0.95299999999999996</v>
      </c>
      <c r="K90" s="11">
        <v>1.07</v>
      </c>
      <c r="L90" s="11">
        <v>1.0469999999999999</v>
      </c>
      <c r="M90" s="11">
        <v>0.90700000000000003</v>
      </c>
      <c r="N90" s="11">
        <v>0.69599999999999995</v>
      </c>
      <c r="O90" s="11">
        <v>0.47399999999999998</v>
      </c>
      <c r="P90" s="11">
        <v>0.28100000000000003</v>
      </c>
      <c r="Q90" s="11">
        <v>0.14299999999999999</v>
      </c>
      <c r="R90" s="11">
        <v>5.6000000000000001E-2</v>
      </c>
      <c r="S90" s="11"/>
    </row>
    <row r="91" spans="1:19" x14ac:dyDescent="0.45">
      <c r="A91" s="5"/>
      <c r="B91" s="1" t="s">
        <v>12</v>
      </c>
      <c r="C91" s="11">
        <v>1.6E-2</v>
      </c>
      <c r="D91" s="11">
        <v>4.2999999999999997E-2</v>
      </c>
      <c r="E91" s="11">
        <v>9.1999999999999998E-2</v>
      </c>
      <c r="F91" s="11">
        <v>0.192</v>
      </c>
      <c r="G91" s="11">
        <v>0.35499999999999998</v>
      </c>
      <c r="H91" s="11">
        <v>0.56999999999999995</v>
      </c>
      <c r="I91" s="11">
        <v>0.78400000000000003</v>
      </c>
      <c r="J91" s="11">
        <v>0.96099999999999997</v>
      </c>
      <c r="K91" s="11">
        <v>1.083</v>
      </c>
      <c r="L91" s="11">
        <v>1.0549999999999999</v>
      </c>
      <c r="M91" s="11">
        <v>0.92600000000000005</v>
      </c>
      <c r="N91" s="11">
        <v>0.70399999999999996</v>
      </c>
      <c r="O91" s="11">
        <v>0.47899999999999998</v>
      </c>
      <c r="P91" s="11">
        <v>0.28799999999999998</v>
      </c>
      <c r="Q91" s="11">
        <v>0.14899999999999999</v>
      </c>
      <c r="R91" s="11">
        <v>0.06</v>
      </c>
      <c r="S91" s="11"/>
    </row>
    <row r="92" spans="1:19" x14ac:dyDescent="0.45">
      <c r="A92" s="5"/>
      <c r="B92" s="1" t="s">
        <v>6</v>
      </c>
      <c r="C92" s="12">
        <f>(C90+C91)/2</f>
        <v>1.55E-2</v>
      </c>
      <c r="D92" s="12">
        <f t="shared" ref="D92:R92" si="20">(D90+D91)/2</f>
        <v>4.1999999999999996E-2</v>
      </c>
      <c r="E92" s="12">
        <f t="shared" si="20"/>
        <v>0.09</v>
      </c>
      <c r="F92" s="12">
        <f t="shared" si="20"/>
        <v>0.189</v>
      </c>
      <c r="G92" s="12">
        <f t="shared" si="20"/>
        <v>0.34949999999999998</v>
      </c>
      <c r="H92" s="12">
        <f t="shared" si="20"/>
        <v>0.5655</v>
      </c>
      <c r="I92" s="12">
        <f t="shared" si="20"/>
        <v>0.78049999999999997</v>
      </c>
      <c r="J92" s="12">
        <f t="shared" si="20"/>
        <v>0.95699999999999996</v>
      </c>
      <c r="K92" s="12">
        <f t="shared" si="20"/>
        <v>1.0765</v>
      </c>
      <c r="L92" s="12">
        <f t="shared" si="20"/>
        <v>1.0509999999999999</v>
      </c>
      <c r="M92" s="12">
        <f t="shared" si="20"/>
        <v>0.91650000000000009</v>
      </c>
      <c r="N92" s="12">
        <f t="shared" si="20"/>
        <v>0.7</v>
      </c>
      <c r="O92" s="12">
        <f t="shared" si="20"/>
        <v>0.47649999999999998</v>
      </c>
      <c r="P92" s="12">
        <f t="shared" si="20"/>
        <v>0.28449999999999998</v>
      </c>
      <c r="Q92" s="12">
        <f t="shared" si="20"/>
        <v>0.14599999999999999</v>
      </c>
      <c r="R92" s="12">
        <f t="shared" si="20"/>
        <v>5.7999999999999996E-2</v>
      </c>
      <c r="S92" s="11"/>
    </row>
    <row r="93" spans="1:19" x14ac:dyDescent="0.45">
      <c r="A93" s="5" t="s">
        <v>9</v>
      </c>
      <c r="B93" s="1"/>
      <c r="C93" s="13">
        <f>(C89+C92)/2</f>
        <v>1.55E-2</v>
      </c>
      <c r="D93" s="13">
        <f t="shared" ref="D93:R93" si="21">(D89+D92)/2</f>
        <v>4.1499999999999995E-2</v>
      </c>
      <c r="E93" s="13">
        <f t="shared" si="21"/>
        <v>9.0999999999999998E-2</v>
      </c>
      <c r="F93" s="13">
        <f t="shared" si="21"/>
        <v>0.19425000000000001</v>
      </c>
      <c r="G93" s="13">
        <f t="shared" si="21"/>
        <v>0.35549999999999998</v>
      </c>
      <c r="H93" s="13">
        <f t="shared" si="21"/>
        <v>0.57174999999999998</v>
      </c>
      <c r="I93" s="13">
        <f t="shared" si="21"/>
        <v>0.78525</v>
      </c>
      <c r="J93" s="13">
        <f t="shared" si="21"/>
        <v>0.96724999999999994</v>
      </c>
      <c r="K93" s="13">
        <f t="shared" si="21"/>
        <v>1.0825</v>
      </c>
      <c r="L93" s="13">
        <f t="shared" si="21"/>
        <v>1.05575</v>
      </c>
      <c r="M93" s="13">
        <f t="shared" si="21"/>
        <v>0.91925000000000012</v>
      </c>
      <c r="N93" s="13">
        <f t="shared" si="21"/>
        <v>0.69974999999999998</v>
      </c>
      <c r="O93" s="13">
        <f t="shared" si="21"/>
        <v>0.47824999999999995</v>
      </c>
      <c r="P93" s="13">
        <f t="shared" si="21"/>
        <v>0.28425</v>
      </c>
      <c r="Q93" s="13">
        <f t="shared" si="21"/>
        <v>0.14574999999999999</v>
      </c>
      <c r="R93" s="13">
        <f t="shared" si="21"/>
        <v>5.8999999999999997E-2</v>
      </c>
      <c r="S93" s="11"/>
    </row>
    <row r="94" spans="1:19" x14ac:dyDescent="0.45">
      <c r="A94" s="5"/>
      <c r="B94" s="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45">
      <c r="A95" s="5"/>
      <c r="B95" s="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45">
      <c r="A96" s="1" t="s">
        <v>22</v>
      </c>
      <c r="B96" s="1"/>
      <c r="C96" s="11" t="s">
        <v>11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45">
      <c r="A97" s="1"/>
      <c r="B97" s="1"/>
      <c r="C97" s="10">
        <v>0</v>
      </c>
      <c r="D97" s="10">
        <v>1.1000000000000001</v>
      </c>
      <c r="E97" s="10">
        <v>2.2000000000000002</v>
      </c>
      <c r="F97" s="10">
        <v>3.3</v>
      </c>
      <c r="G97" s="10">
        <v>4.4000000000000004</v>
      </c>
      <c r="H97" s="10">
        <v>5.5</v>
      </c>
      <c r="I97" s="10">
        <v>6.6</v>
      </c>
      <c r="J97" s="10">
        <v>7.7</v>
      </c>
      <c r="K97" s="10">
        <v>8.8000000000000007</v>
      </c>
      <c r="L97" s="10">
        <v>9.9</v>
      </c>
      <c r="M97" s="10">
        <v>11</v>
      </c>
      <c r="N97" s="10">
        <v>12.1</v>
      </c>
      <c r="O97" s="10">
        <v>13.2</v>
      </c>
      <c r="P97" s="10">
        <v>14.3</v>
      </c>
      <c r="Q97" s="10">
        <v>15.4</v>
      </c>
      <c r="R97" s="10">
        <v>16.3</v>
      </c>
      <c r="S97" s="11"/>
    </row>
    <row r="98" spans="1:19" x14ac:dyDescent="0.45">
      <c r="A98" s="15" t="s">
        <v>5</v>
      </c>
      <c r="B98" s="1" t="s">
        <v>2</v>
      </c>
      <c r="C98" s="11">
        <v>7.5999999999999998E-2</v>
      </c>
      <c r="D98" s="11">
        <v>0.14599999999999999</v>
      </c>
      <c r="E98" s="11">
        <v>0.27300000000000002</v>
      </c>
      <c r="F98" s="11">
        <v>0.43</v>
      </c>
      <c r="G98" s="11">
        <v>0.622</v>
      </c>
      <c r="H98" s="11">
        <v>0.82499999999999996</v>
      </c>
      <c r="I98" s="11">
        <v>1.002</v>
      </c>
      <c r="J98" s="11">
        <v>1.125</v>
      </c>
      <c r="K98" s="11">
        <v>1.157</v>
      </c>
      <c r="L98" s="11">
        <v>1.1020000000000001</v>
      </c>
      <c r="M98" s="11">
        <v>0.96899999999999997</v>
      </c>
      <c r="N98" s="11">
        <v>0.77900000000000003</v>
      </c>
      <c r="O98" s="11">
        <v>0.58499999999999996</v>
      </c>
      <c r="P98" s="11">
        <v>0.39100000000000001</v>
      </c>
      <c r="Q98" s="11">
        <v>0.251</v>
      </c>
      <c r="R98" s="11">
        <v>0.155</v>
      </c>
      <c r="S98" s="11"/>
    </row>
    <row r="99" spans="1:19" x14ac:dyDescent="0.45">
      <c r="A99" s="15"/>
      <c r="B99" s="1" t="s">
        <v>12</v>
      </c>
      <c r="C99" s="11">
        <v>7.8E-2</v>
      </c>
      <c r="D99" s="11">
        <v>0.152</v>
      </c>
      <c r="E99" s="11">
        <v>0.27900000000000003</v>
      </c>
      <c r="F99" s="11">
        <v>0.439</v>
      </c>
      <c r="G99" s="11">
        <v>0.63500000000000001</v>
      </c>
      <c r="H99" s="11">
        <v>0.83799999999999997</v>
      </c>
      <c r="I99" s="11">
        <v>1.0109999999999999</v>
      </c>
      <c r="J99" s="11">
        <v>1.135</v>
      </c>
      <c r="K99" s="11">
        <v>1.163</v>
      </c>
      <c r="L99" s="11">
        <v>1.109</v>
      </c>
      <c r="M99" s="11">
        <v>0.97299999999999998</v>
      </c>
      <c r="N99" s="11">
        <v>0.78600000000000003</v>
      </c>
      <c r="O99" s="11">
        <v>0.58899999999999997</v>
      </c>
      <c r="P99" s="11">
        <v>0.39400000000000002</v>
      </c>
      <c r="Q99" s="11">
        <v>0.25600000000000001</v>
      </c>
      <c r="R99" s="11">
        <v>0.157</v>
      </c>
      <c r="S99" s="11"/>
    </row>
    <row r="100" spans="1:19" x14ac:dyDescent="0.45">
      <c r="A100" s="1"/>
      <c r="B100" s="1" t="s">
        <v>6</v>
      </c>
      <c r="C100" s="12">
        <f>(C98+C99)/2</f>
        <v>7.6999999999999999E-2</v>
      </c>
      <c r="D100" s="12">
        <f t="shared" ref="D100:R100" si="22">(D98+D99)/2</f>
        <v>0.14899999999999999</v>
      </c>
      <c r="E100" s="12">
        <f t="shared" si="22"/>
        <v>0.27600000000000002</v>
      </c>
      <c r="F100" s="12">
        <f t="shared" si="22"/>
        <v>0.4345</v>
      </c>
      <c r="G100" s="12">
        <f t="shared" si="22"/>
        <v>0.62850000000000006</v>
      </c>
      <c r="H100" s="12">
        <f t="shared" si="22"/>
        <v>0.83149999999999991</v>
      </c>
      <c r="I100" s="12">
        <f t="shared" si="22"/>
        <v>1.0065</v>
      </c>
      <c r="J100" s="12">
        <f t="shared" si="22"/>
        <v>1.1299999999999999</v>
      </c>
      <c r="K100" s="12">
        <f t="shared" si="22"/>
        <v>1.1600000000000001</v>
      </c>
      <c r="L100" s="12">
        <f t="shared" si="22"/>
        <v>1.1055000000000001</v>
      </c>
      <c r="M100" s="12">
        <f t="shared" si="22"/>
        <v>0.97099999999999997</v>
      </c>
      <c r="N100" s="12">
        <f t="shared" si="22"/>
        <v>0.78249999999999997</v>
      </c>
      <c r="O100" s="12">
        <f t="shared" si="22"/>
        <v>0.58699999999999997</v>
      </c>
      <c r="P100" s="12">
        <f t="shared" si="22"/>
        <v>0.39250000000000002</v>
      </c>
      <c r="Q100" s="12">
        <f t="shared" si="22"/>
        <v>0.2535</v>
      </c>
      <c r="R100" s="12">
        <f t="shared" si="22"/>
        <v>0.156</v>
      </c>
      <c r="S100" s="11"/>
    </row>
    <row r="101" spans="1:19" x14ac:dyDescent="0.45">
      <c r="A101" s="15" t="s">
        <v>13</v>
      </c>
      <c r="B101" s="1" t="s">
        <v>2</v>
      </c>
      <c r="C101" s="11">
        <v>7.5999999999999998E-2</v>
      </c>
      <c r="D101" s="11">
        <v>0.156</v>
      </c>
      <c r="E101" s="11">
        <v>0.27900000000000003</v>
      </c>
      <c r="F101" s="11">
        <v>0.437</v>
      </c>
      <c r="G101" s="11">
        <v>0.63900000000000001</v>
      </c>
      <c r="H101" s="11">
        <v>0.84299999999999997</v>
      </c>
      <c r="I101" s="11">
        <v>1.0229999999999999</v>
      </c>
      <c r="J101" s="11">
        <v>1.1379999999999999</v>
      </c>
      <c r="K101" s="11">
        <v>1.163</v>
      </c>
      <c r="L101" s="11">
        <v>1.1100000000000001</v>
      </c>
      <c r="M101" s="11">
        <v>0.97299999999999998</v>
      </c>
      <c r="N101" s="11">
        <v>0.78100000000000003</v>
      </c>
      <c r="O101" s="11">
        <v>0.58299999999999996</v>
      </c>
      <c r="P101" s="11">
        <v>0.40400000000000003</v>
      </c>
      <c r="Q101" s="11">
        <v>0.246</v>
      </c>
      <c r="R101" s="11">
        <v>0.158</v>
      </c>
      <c r="S101" s="11"/>
    </row>
    <row r="102" spans="1:19" x14ac:dyDescent="0.45">
      <c r="A102" s="15"/>
      <c r="B102" s="1" t="s">
        <v>12</v>
      </c>
      <c r="C102" s="11">
        <v>7.9000000000000001E-2</v>
      </c>
      <c r="D102" s="11">
        <v>0.159</v>
      </c>
      <c r="E102" s="11">
        <v>0.28799999999999998</v>
      </c>
      <c r="F102" s="11">
        <v>0.44800000000000001</v>
      </c>
      <c r="G102" s="11">
        <v>0.64900000000000002</v>
      </c>
      <c r="H102" s="11">
        <v>0.85499999999999998</v>
      </c>
      <c r="I102" s="11">
        <v>1.0289999999999999</v>
      </c>
      <c r="J102" s="11">
        <v>1.145</v>
      </c>
      <c r="K102" s="11">
        <v>1.1779999999999999</v>
      </c>
      <c r="L102" s="11">
        <v>1.1200000000000001</v>
      </c>
      <c r="M102" s="11">
        <v>0.98199999999999998</v>
      </c>
      <c r="N102" s="11">
        <v>0.79200000000000004</v>
      </c>
      <c r="O102" s="11">
        <v>0.59099999999999997</v>
      </c>
      <c r="P102" s="11">
        <v>0.41099999999999998</v>
      </c>
      <c r="Q102" s="11">
        <v>0.252</v>
      </c>
      <c r="R102" s="11">
        <v>0.16200000000000001</v>
      </c>
      <c r="S102" s="11"/>
    </row>
    <row r="103" spans="1:19" x14ac:dyDescent="0.45">
      <c r="A103" s="1"/>
      <c r="B103" s="1" t="s">
        <v>6</v>
      </c>
      <c r="C103" s="3">
        <f>(C101+C102)/2</f>
        <v>7.7499999999999999E-2</v>
      </c>
      <c r="D103" s="3">
        <f t="shared" ref="D103:R103" si="23">(D101+D102)/2</f>
        <v>0.1575</v>
      </c>
      <c r="E103" s="3">
        <f t="shared" si="23"/>
        <v>0.28349999999999997</v>
      </c>
      <c r="F103" s="3">
        <f t="shared" si="23"/>
        <v>0.4425</v>
      </c>
      <c r="G103" s="3">
        <f t="shared" si="23"/>
        <v>0.64400000000000002</v>
      </c>
      <c r="H103" s="3">
        <f t="shared" si="23"/>
        <v>0.84899999999999998</v>
      </c>
      <c r="I103" s="3">
        <f t="shared" si="23"/>
        <v>1.0259999999999998</v>
      </c>
      <c r="J103" s="3">
        <f t="shared" si="23"/>
        <v>1.1415</v>
      </c>
      <c r="K103" s="3">
        <f t="shared" si="23"/>
        <v>1.1705000000000001</v>
      </c>
      <c r="L103" s="3">
        <f t="shared" si="23"/>
        <v>1.1150000000000002</v>
      </c>
      <c r="M103" s="3">
        <f t="shared" si="23"/>
        <v>0.97750000000000004</v>
      </c>
      <c r="N103" s="3">
        <f t="shared" si="23"/>
        <v>0.78649999999999998</v>
      </c>
      <c r="O103" s="3">
        <f t="shared" si="23"/>
        <v>0.58699999999999997</v>
      </c>
      <c r="P103" s="3">
        <f t="shared" si="23"/>
        <v>0.40749999999999997</v>
      </c>
      <c r="Q103" s="3">
        <f t="shared" si="23"/>
        <v>0.249</v>
      </c>
      <c r="R103" s="3">
        <f t="shared" si="23"/>
        <v>0.16</v>
      </c>
      <c r="S103" s="1"/>
    </row>
    <row r="104" spans="1:19" x14ac:dyDescent="0.45">
      <c r="A104" s="1" t="s">
        <v>9</v>
      </c>
      <c r="B104" s="1"/>
      <c r="C104" s="4">
        <f>(C100+C103)/2</f>
        <v>7.7249999999999999E-2</v>
      </c>
      <c r="D104" s="4">
        <f t="shared" ref="D104:R104" si="24">(D100+D103)/2</f>
        <v>0.15325</v>
      </c>
      <c r="E104" s="4">
        <f t="shared" si="24"/>
        <v>0.27975</v>
      </c>
      <c r="F104" s="4">
        <f t="shared" si="24"/>
        <v>0.4385</v>
      </c>
      <c r="G104" s="4">
        <f t="shared" si="24"/>
        <v>0.63624999999999998</v>
      </c>
      <c r="H104" s="4">
        <f t="shared" si="24"/>
        <v>0.84024999999999994</v>
      </c>
      <c r="I104" s="4">
        <f t="shared" si="24"/>
        <v>1.0162499999999999</v>
      </c>
      <c r="J104" s="4">
        <f t="shared" si="24"/>
        <v>1.1357499999999998</v>
      </c>
      <c r="K104" s="4">
        <f t="shared" si="24"/>
        <v>1.1652500000000001</v>
      </c>
      <c r="L104" s="4">
        <f t="shared" si="24"/>
        <v>1.1102500000000002</v>
      </c>
      <c r="M104" s="4">
        <f t="shared" si="24"/>
        <v>0.97425000000000006</v>
      </c>
      <c r="N104" s="4">
        <f t="shared" si="24"/>
        <v>0.78449999999999998</v>
      </c>
      <c r="O104" s="4">
        <f t="shared" si="24"/>
        <v>0.58699999999999997</v>
      </c>
      <c r="P104" s="4">
        <f t="shared" si="24"/>
        <v>0.4</v>
      </c>
      <c r="Q104" s="4">
        <f t="shared" si="24"/>
        <v>0.25124999999999997</v>
      </c>
      <c r="R104" s="4">
        <f t="shared" si="24"/>
        <v>0.158</v>
      </c>
      <c r="S104" s="1"/>
    </row>
    <row r="110" spans="1:19" x14ac:dyDescent="0.45">
      <c r="B110" t="s">
        <v>23</v>
      </c>
      <c r="C110" t="s">
        <v>24</v>
      </c>
      <c r="E110" t="s">
        <v>25</v>
      </c>
      <c r="F110" s="14">
        <v>3.1415926535000001</v>
      </c>
      <c r="I110" t="s">
        <v>31</v>
      </c>
      <c r="J110">
        <f>0.01^2 +0.01^2</f>
        <v>2.0000000000000001E-4</v>
      </c>
    </row>
    <row r="111" spans="1:19" x14ac:dyDescent="0.45">
      <c r="J111">
        <f>SQRT(J110)</f>
        <v>1.4142135623730951E-2</v>
      </c>
    </row>
    <row r="112" spans="1:19" x14ac:dyDescent="0.45">
      <c r="B112">
        <v>0.1</v>
      </c>
      <c r="C112">
        <v>0.37</v>
      </c>
      <c r="E112" t="s">
        <v>26</v>
      </c>
      <c r="F112">
        <v>0.74460000000000004</v>
      </c>
    </row>
    <row r="113" spans="2:7" x14ac:dyDescent="0.45">
      <c r="B113">
        <v>0.2</v>
      </c>
      <c r="C113">
        <v>0.38</v>
      </c>
      <c r="E113" t="s">
        <v>28</v>
      </c>
      <c r="F113">
        <v>0.39</v>
      </c>
    </row>
    <row r="114" spans="2:7" x14ac:dyDescent="0.45">
      <c r="B114">
        <v>0.5</v>
      </c>
      <c r="C114">
        <v>0.49</v>
      </c>
      <c r="F114">
        <f>F110*(F113)^2</f>
        <v>0.47783624259735002</v>
      </c>
    </row>
    <row r="115" spans="2:7" x14ac:dyDescent="0.45">
      <c r="B115">
        <v>1</v>
      </c>
      <c r="C115">
        <v>0.65</v>
      </c>
      <c r="F115">
        <f>F114/(632.8*10^-3)</f>
        <v>0.75511416339657089</v>
      </c>
    </row>
    <row r="116" spans="2:7" x14ac:dyDescent="0.45">
      <c r="B116">
        <v>2</v>
      </c>
      <c r="C116">
        <v>1.06</v>
      </c>
    </row>
    <row r="117" spans="2:7" x14ac:dyDescent="0.45">
      <c r="B117">
        <v>5</v>
      </c>
      <c r="C117">
        <v>2.61</v>
      </c>
      <c r="E117">
        <f>632.8*(10^-9)</f>
        <v>6.328E-7</v>
      </c>
      <c r="F117">
        <f>E117/(F110*0.39*10^-3)</f>
        <v>5.1647819482784592E-4</v>
      </c>
    </row>
    <row r="118" spans="2:7" x14ac:dyDescent="0.45">
      <c r="B118">
        <v>10</v>
      </c>
      <c r="C118">
        <v>5.16</v>
      </c>
      <c r="F118">
        <f>F117*10^3</f>
        <v>0.51647819482784596</v>
      </c>
      <c r="G118" t="s">
        <v>29</v>
      </c>
    </row>
    <row r="119" spans="2:7" x14ac:dyDescent="0.45">
      <c r="B119">
        <v>15</v>
      </c>
      <c r="C119">
        <v>7.65</v>
      </c>
    </row>
    <row r="137" spans="3:7" x14ac:dyDescent="0.45">
      <c r="F137">
        <f>0.507/F118</f>
        <v>0.98164841241554202</v>
      </c>
      <c r="G137" t="s">
        <v>30</v>
      </c>
    </row>
    <row r="141" spans="3:7" x14ac:dyDescent="0.45">
      <c r="C141" t="s">
        <v>27</v>
      </c>
    </row>
    <row r="157" spans="3:4" x14ac:dyDescent="0.45">
      <c r="C157" t="s">
        <v>32</v>
      </c>
    </row>
    <row r="159" spans="3:4" x14ac:dyDescent="0.45">
      <c r="C159">
        <f>0.0101^2</f>
        <v>1.0200999999999999E-4</v>
      </c>
      <c r="D159">
        <f>0.01^2</f>
        <v>1E-4</v>
      </c>
    </row>
    <row r="160" spans="3:4" x14ac:dyDescent="0.45">
      <c r="D160">
        <f>SQRT(C159+D159)</f>
        <v>1.4213022197970424E-2</v>
      </c>
    </row>
    <row r="162" spans="3:4" x14ac:dyDescent="0.45">
      <c r="C162" t="s">
        <v>33</v>
      </c>
    </row>
    <row r="164" spans="3:4" x14ac:dyDescent="0.45">
      <c r="C164">
        <f>0.014/0.39</f>
        <v>3.5897435897435895E-2</v>
      </c>
      <c r="D164">
        <f>2*C164</f>
        <v>7.179487179487179E-2</v>
      </c>
    </row>
    <row r="165" spans="3:4" x14ac:dyDescent="0.45">
      <c r="C165" t="s">
        <v>36</v>
      </c>
      <c r="D165">
        <f>D164*0.7551</f>
        <v>5.4212307692307685E-2</v>
      </c>
    </row>
    <row r="168" spans="3:4" x14ac:dyDescent="0.45">
      <c r="C168" t="s">
        <v>34</v>
      </c>
    </row>
    <row r="170" spans="3:4" x14ac:dyDescent="0.45">
      <c r="C170">
        <f>0.516*C164</f>
        <v>1.8523076923076923E-2</v>
      </c>
    </row>
    <row r="172" spans="3:4" x14ac:dyDescent="0.45">
      <c r="C172" t="s">
        <v>35</v>
      </c>
    </row>
    <row r="174" spans="3:4" x14ac:dyDescent="0.45">
      <c r="C174">
        <f>0.05/10</f>
        <v>5.0000000000000001E-3</v>
      </c>
      <c r="D174">
        <f>C174*0.507</f>
        <v>2.5349999999999999E-3</v>
      </c>
    </row>
    <row r="176" spans="3:4" x14ac:dyDescent="0.45">
      <c r="C176" t="s">
        <v>37</v>
      </c>
    </row>
    <row r="178" spans="2:4" x14ac:dyDescent="0.45">
      <c r="C178">
        <f>(0.003/0.507)^2</f>
        <v>3.5012779664577572E-5</v>
      </c>
      <c r="D178">
        <f>(C170/0.516)^2</f>
        <v>1.2886259040105193E-3</v>
      </c>
    </row>
    <row r="180" spans="2:4" x14ac:dyDescent="0.45">
      <c r="C180">
        <f>SQRT(C178+D178)</f>
        <v>3.6381845523215238E-2</v>
      </c>
    </row>
    <row r="181" spans="2:4" x14ac:dyDescent="0.45">
      <c r="B181" t="s">
        <v>38</v>
      </c>
      <c r="C181">
        <f>C180*0.983</f>
        <v>3.5763354149320581E-2</v>
      </c>
    </row>
  </sheetData>
  <mergeCells count="9">
    <mergeCell ref="A68:A69"/>
    <mergeCell ref="A98:A99"/>
    <mergeCell ref="A101:A102"/>
    <mergeCell ref="A24:A25"/>
    <mergeCell ref="A28:A29"/>
    <mergeCell ref="A36:A37"/>
    <mergeCell ref="A40:A41"/>
    <mergeCell ref="A43:A44"/>
    <mergeCell ref="A65:A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Bhar</dc:creator>
  <cp:lastModifiedBy>Soham Bhar</cp:lastModifiedBy>
  <dcterms:created xsi:type="dcterms:W3CDTF">2026-02-18T10:45:41Z</dcterms:created>
  <dcterms:modified xsi:type="dcterms:W3CDTF">2026-02-20T01:09:55Z</dcterms:modified>
</cp:coreProperties>
</file>