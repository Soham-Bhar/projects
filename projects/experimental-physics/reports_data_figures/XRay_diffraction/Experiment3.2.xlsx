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XRD_Data Files\"/>
    </mc:Choice>
  </mc:AlternateContent>
  <xr:revisionPtr revIDLastSave="0" documentId="13_ncr:1_{68D0A4E0-F1B2-4C2C-8807-CF623E5CB6DE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Widescan" sheetId="1" r:id="rId1"/>
    <sheet name="Peak 1" sheetId="2" r:id="rId2"/>
    <sheet name="Peak 2" sheetId="3" r:id="rId3"/>
    <sheet name="Peak 3" sheetId="4" r:id="rId4"/>
    <sheet name="Peak 4" sheetId="5" r:id="rId5"/>
    <sheet name="Peak 5" sheetId="6" r:id="rId6"/>
    <sheet name="Peak 6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0" i="7" l="1"/>
  <c r="O20" i="7"/>
  <c r="K20" i="7"/>
  <c r="G20" i="7"/>
  <c r="C20" i="7"/>
  <c r="T19" i="7"/>
  <c r="P19" i="7"/>
  <c r="L19" i="7"/>
  <c r="H19" i="7"/>
  <c r="D19" i="7"/>
  <c r="T18" i="7"/>
  <c r="P18" i="7"/>
  <c r="L18" i="7"/>
  <c r="H18" i="7"/>
  <c r="D18" i="7"/>
  <c r="T17" i="7"/>
  <c r="P17" i="7"/>
  <c r="L17" i="7"/>
  <c r="H17" i="7"/>
  <c r="D17" i="7"/>
  <c r="T16" i="7"/>
  <c r="P16" i="7"/>
  <c r="L16" i="7"/>
  <c r="H16" i="7"/>
  <c r="D16" i="7"/>
  <c r="T15" i="7"/>
  <c r="P15" i="7"/>
  <c r="L15" i="7"/>
  <c r="H15" i="7"/>
  <c r="D15" i="7"/>
  <c r="T14" i="7"/>
  <c r="P14" i="7"/>
  <c r="L14" i="7"/>
  <c r="H14" i="7"/>
  <c r="D14" i="7"/>
  <c r="T13" i="7"/>
  <c r="P13" i="7"/>
  <c r="L13" i="7"/>
  <c r="H13" i="7"/>
  <c r="D13" i="7"/>
  <c r="T12" i="7"/>
  <c r="P12" i="7"/>
  <c r="L12" i="7"/>
  <c r="H12" i="7"/>
  <c r="D12" i="7"/>
  <c r="T11" i="7"/>
  <c r="P11" i="7"/>
  <c r="L11" i="7"/>
  <c r="H11" i="7"/>
  <c r="D11" i="7"/>
  <c r="T10" i="7"/>
  <c r="P10" i="7"/>
  <c r="L10" i="7"/>
  <c r="H10" i="7"/>
  <c r="D10" i="7"/>
  <c r="T9" i="7"/>
  <c r="P9" i="7"/>
  <c r="L9" i="7"/>
  <c r="H9" i="7"/>
  <c r="D9" i="7"/>
  <c r="T8" i="7"/>
  <c r="T20" i="7" s="1"/>
  <c r="T21" i="7" s="1"/>
  <c r="T22" i="7" s="1"/>
  <c r="P8" i="7"/>
  <c r="P20" i="7" s="1"/>
  <c r="P21" i="7" s="1"/>
  <c r="P22" i="7" s="1"/>
  <c r="L8" i="7"/>
  <c r="H8" i="7"/>
  <c r="D8" i="7"/>
  <c r="T7" i="7"/>
  <c r="P7" i="7"/>
  <c r="L7" i="7"/>
  <c r="H7" i="7"/>
  <c r="D7" i="7"/>
  <c r="T6" i="7"/>
  <c r="P6" i="7"/>
  <c r="L6" i="7"/>
  <c r="H6" i="7"/>
  <c r="D6" i="7"/>
  <c r="D20" i="7" s="1"/>
  <c r="D21" i="7" s="1"/>
  <c r="D22" i="7" s="1"/>
  <c r="T5" i="7"/>
  <c r="P5" i="7"/>
  <c r="L5" i="7"/>
  <c r="L20" i="7" s="1"/>
  <c r="L21" i="7" s="1"/>
  <c r="L22" i="7" s="1"/>
  <c r="H5" i="7"/>
  <c r="H20" i="7" s="1"/>
  <c r="H21" i="7" s="1"/>
  <c r="H22" i="7" s="1"/>
  <c r="D5" i="7"/>
  <c r="S17" i="6"/>
  <c r="O17" i="6"/>
  <c r="K17" i="6"/>
  <c r="G17" i="6"/>
  <c r="C17" i="6"/>
  <c r="T16" i="6"/>
  <c r="P16" i="6"/>
  <c r="L16" i="6"/>
  <c r="H16" i="6"/>
  <c r="D16" i="6"/>
  <c r="T15" i="6"/>
  <c r="P15" i="6"/>
  <c r="L15" i="6"/>
  <c r="H15" i="6"/>
  <c r="D15" i="6"/>
  <c r="T14" i="6"/>
  <c r="P14" i="6"/>
  <c r="L14" i="6"/>
  <c r="H14" i="6"/>
  <c r="D14" i="6"/>
  <c r="T13" i="6"/>
  <c r="P13" i="6"/>
  <c r="L13" i="6"/>
  <c r="H13" i="6"/>
  <c r="D13" i="6"/>
  <c r="T12" i="6"/>
  <c r="P12" i="6"/>
  <c r="L12" i="6"/>
  <c r="H12" i="6"/>
  <c r="D12" i="6"/>
  <c r="T11" i="6"/>
  <c r="P11" i="6"/>
  <c r="L11" i="6"/>
  <c r="H11" i="6"/>
  <c r="D11" i="6"/>
  <c r="T10" i="6"/>
  <c r="P10" i="6"/>
  <c r="L10" i="6"/>
  <c r="H10" i="6"/>
  <c r="D10" i="6"/>
  <c r="T9" i="6"/>
  <c r="P9" i="6"/>
  <c r="L9" i="6"/>
  <c r="H9" i="6"/>
  <c r="D9" i="6"/>
  <c r="T8" i="6"/>
  <c r="P8" i="6"/>
  <c r="L8" i="6"/>
  <c r="H8" i="6"/>
  <c r="D8" i="6"/>
  <c r="T7" i="6"/>
  <c r="P7" i="6"/>
  <c r="L7" i="6"/>
  <c r="H7" i="6"/>
  <c r="D7" i="6"/>
  <c r="T6" i="6"/>
  <c r="P6" i="6"/>
  <c r="L6" i="6"/>
  <c r="H6" i="6"/>
  <c r="H17" i="6" s="1"/>
  <c r="H18" i="6" s="1"/>
  <c r="H19" i="6" s="1"/>
  <c r="D6" i="6"/>
  <c r="D17" i="6" s="1"/>
  <c r="D18" i="6" s="1"/>
  <c r="D19" i="6" s="1"/>
  <c r="T5" i="6"/>
  <c r="T17" i="6" s="1"/>
  <c r="T18" i="6" s="1"/>
  <c r="T19" i="6" s="1"/>
  <c r="P5" i="6"/>
  <c r="P17" i="6" s="1"/>
  <c r="P18" i="6" s="1"/>
  <c r="P19" i="6" s="1"/>
  <c r="L5" i="6"/>
  <c r="L17" i="6" s="1"/>
  <c r="L18" i="6" s="1"/>
  <c r="L19" i="6" s="1"/>
  <c r="H5" i="6"/>
  <c r="D5" i="6"/>
  <c r="S20" i="5"/>
  <c r="O20" i="5"/>
  <c r="K20" i="5"/>
  <c r="G20" i="5"/>
  <c r="C20" i="5"/>
  <c r="T19" i="5"/>
  <c r="P19" i="5"/>
  <c r="L19" i="5"/>
  <c r="H19" i="5"/>
  <c r="D19" i="5"/>
  <c r="T18" i="5"/>
  <c r="P18" i="5"/>
  <c r="L18" i="5"/>
  <c r="H18" i="5"/>
  <c r="D18" i="5"/>
  <c r="T17" i="5"/>
  <c r="P17" i="5"/>
  <c r="L17" i="5"/>
  <c r="H17" i="5"/>
  <c r="D17" i="5"/>
  <c r="T16" i="5"/>
  <c r="P16" i="5"/>
  <c r="L16" i="5"/>
  <c r="H16" i="5"/>
  <c r="D16" i="5"/>
  <c r="T15" i="5"/>
  <c r="P15" i="5"/>
  <c r="L15" i="5"/>
  <c r="H15" i="5"/>
  <c r="D15" i="5"/>
  <c r="T14" i="5"/>
  <c r="P14" i="5"/>
  <c r="L14" i="5"/>
  <c r="H14" i="5"/>
  <c r="D14" i="5"/>
  <c r="T13" i="5"/>
  <c r="P13" i="5"/>
  <c r="L13" i="5"/>
  <c r="H13" i="5"/>
  <c r="D13" i="5"/>
  <c r="T12" i="5"/>
  <c r="P12" i="5"/>
  <c r="L12" i="5"/>
  <c r="H12" i="5"/>
  <c r="D12" i="5"/>
  <c r="T11" i="5"/>
  <c r="P11" i="5"/>
  <c r="L11" i="5"/>
  <c r="H11" i="5"/>
  <c r="D11" i="5"/>
  <c r="T10" i="5"/>
  <c r="P10" i="5"/>
  <c r="L10" i="5"/>
  <c r="H10" i="5"/>
  <c r="D10" i="5"/>
  <c r="T9" i="5"/>
  <c r="P9" i="5"/>
  <c r="L9" i="5"/>
  <c r="H9" i="5"/>
  <c r="D9" i="5"/>
  <c r="T8" i="5"/>
  <c r="P8" i="5"/>
  <c r="L8" i="5"/>
  <c r="H8" i="5"/>
  <c r="D8" i="5"/>
  <c r="T7" i="5"/>
  <c r="P7" i="5"/>
  <c r="L7" i="5"/>
  <c r="H7" i="5"/>
  <c r="D7" i="5"/>
  <c r="T6" i="5"/>
  <c r="P6" i="5"/>
  <c r="L6" i="5"/>
  <c r="L20" i="5" s="1"/>
  <c r="L21" i="5" s="1"/>
  <c r="L22" i="5" s="1"/>
  <c r="H6" i="5"/>
  <c r="H20" i="5" s="1"/>
  <c r="H21" i="5" s="1"/>
  <c r="H22" i="5" s="1"/>
  <c r="D6" i="5"/>
  <c r="D20" i="5" s="1"/>
  <c r="D21" i="5" s="1"/>
  <c r="D22" i="5" s="1"/>
  <c r="T5" i="5"/>
  <c r="T20" i="5" s="1"/>
  <c r="T21" i="5" s="1"/>
  <c r="T22" i="5" s="1"/>
  <c r="P5" i="5"/>
  <c r="P20" i="5" s="1"/>
  <c r="P21" i="5" s="1"/>
  <c r="P22" i="5" s="1"/>
  <c r="L5" i="5"/>
  <c r="H5" i="5"/>
  <c r="D5" i="5"/>
  <c r="S22" i="4"/>
  <c r="O22" i="4"/>
  <c r="K22" i="4"/>
  <c r="G22" i="4"/>
  <c r="C22" i="4"/>
  <c r="T21" i="4"/>
  <c r="P21" i="4"/>
  <c r="L21" i="4"/>
  <c r="H21" i="4"/>
  <c r="D21" i="4"/>
  <c r="T20" i="4"/>
  <c r="P20" i="4"/>
  <c r="L20" i="4"/>
  <c r="H20" i="4"/>
  <c r="D20" i="4"/>
  <c r="T19" i="4"/>
  <c r="P19" i="4"/>
  <c r="L19" i="4"/>
  <c r="H19" i="4"/>
  <c r="D19" i="4"/>
  <c r="T18" i="4"/>
  <c r="P18" i="4"/>
  <c r="L18" i="4"/>
  <c r="H18" i="4"/>
  <c r="D18" i="4"/>
  <c r="T17" i="4"/>
  <c r="P17" i="4"/>
  <c r="L17" i="4"/>
  <c r="H17" i="4"/>
  <c r="D17" i="4"/>
  <c r="T16" i="4"/>
  <c r="P16" i="4"/>
  <c r="L16" i="4"/>
  <c r="H16" i="4"/>
  <c r="D16" i="4"/>
  <c r="T15" i="4"/>
  <c r="P15" i="4"/>
  <c r="L15" i="4"/>
  <c r="H15" i="4"/>
  <c r="D15" i="4"/>
  <c r="T14" i="4"/>
  <c r="P14" i="4"/>
  <c r="L14" i="4"/>
  <c r="H14" i="4"/>
  <c r="D14" i="4"/>
  <c r="T13" i="4"/>
  <c r="P13" i="4"/>
  <c r="L13" i="4"/>
  <c r="H13" i="4"/>
  <c r="D13" i="4"/>
  <c r="T12" i="4"/>
  <c r="P12" i="4"/>
  <c r="L12" i="4"/>
  <c r="H12" i="4"/>
  <c r="D12" i="4"/>
  <c r="T11" i="4"/>
  <c r="P11" i="4"/>
  <c r="L11" i="4"/>
  <c r="H11" i="4"/>
  <c r="D11" i="4"/>
  <c r="T10" i="4"/>
  <c r="P10" i="4"/>
  <c r="L10" i="4"/>
  <c r="H10" i="4"/>
  <c r="D10" i="4"/>
  <c r="T9" i="4"/>
  <c r="P9" i="4"/>
  <c r="L9" i="4"/>
  <c r="H9" i="4"/>
  <c r="D9" i="4"/>
  <c r="T8" i="4"/>
  <c r="P8" i="4"/>
  <c r="L8" i="4"/>
  <c r="H8" i="4"/>
  <c r="D8" i="4"/>
  <c r="T7" i="4"/>
  <c r="P7" i="4"/>
  <c r="L7" i="4"/>
  <c r="H7" i="4"/>
  <c r="D7" i="4"/>
  <c r="T6" i="4"/>
  <c r="P6" i="4"/>
  <c r="L6" i="4"/>
  <c r="H6" i="4"/>
  <c r="D6" i="4"/>
  <c r="T5" i="4"/>
  <c r="T22" i="4" s="1"/>
  <c r="T23" i="4" s="1"/>
  <c r="T24" i="4" s="1"/>
  <c r="P5" i="4"/>
  <c r="P22" i="4" s="1"/>
  <c r="P23" i="4" s="1"/>
  <c r="P24" i="4" s="1"/>
  <c r="L5" i="4"/>
  <c r="L22" i="4" s="1"/>
  <c r="L23" i="4" s="1"/>
  <c r="L24" i="4" s="1"/>
  <c r="H5" i="4"/>
  <c r="H22" i="4" s="1"/>
  <c r="H23" i="4" s="1"/>
  <c r="H24" i="4" s="1"/>
  <c r="D5" i="4"/>
  <c r="D22" i="4" s="1"/>
  <c r="D23" i="4" s="1"/>
  <c r="D24" i="4" s="1"/>
  <c r="C27" i="4" s="1"/>
  <c r="C29" i="4" s="1"/>
  <c r="S19" i="3"/>
  <c r="O19" i="3"/>
  <c r="K19" i="3"/>
  <c r="G19" i="3"/>
  <c r="C19" i="3"/>
  <c r="T18" i="3"/>
  <c r="P18" i="3"/>
  <c r="L18" i="3"/>
  <c r="H18" i="3"/>
  <c r="D18" i="3"/>
  <c r="T17" i="3"/>
  <c r="P17" i="3"/>
  <c r="L17" i="3"/>
  <c r="H17" i="3"/>
  <c r="D17" i="3"/>
  <c r="T16" i="3"/>
  <c r="P16" i="3"/>
  <c r="L16" i="3"/>
  <c r="H16" i="3"/>
  <c r="D16" i="3"/>
  <c r="T15" i="3"/>
  <c r="P15" i="3"/>
  <c r="L15" i="3"/>
  <c r="H15" i="3"/>
  <c r="D15" i="3"/>
  <c r="T14" i="3"/>
  <c r="P14" i="3"/>
  <c r="L14" i="3"/>
  <c r="H14" i="3"/>
  <c r="D14" i="3"/>
  <c r="T13" i="3"/>
  <c r="P13" i="3"/>
  <c r="L13" i="3"/>
  <c r="H13" i="3"/>
  <c r="D13" i="3"/>
  <c r="T12" i="3"/>
  <c r="P12" i="3"/>
  <c r="L12" i="3"/>
  <c r="H12" i="3"/>
  <c r="D12" i="3"/>
  <c r="T11" i="3"/>
  <c r="P11" i="3"/>
  <c r="L11" i="3"/>
  <c r="H11" i="3"/>
  <c r="D11" i="3"/>
  <c r="T10" i="3"/>
  <c r="P10" i="3"/>
  <c r="L10" i="3"/>
  <c r="L19" i="3" s="1"/>
  <c r="L20" i="3" s="1"/>
  <c r="L21" i="3" s="1"/>
  <c r="H10" i="3"/>
  <c r="D10" i="3"/>
  <c r="T9" i="3"/>
  <c r="P9" i="3"/>
  <c r="L9" i="3"/>
  <c r="H9" i="3"/>
  <c r="D9" i="3"/>
  <c r="T8" i="3"/>
  <c r="P8" i="3"/>
  <c r="L8" i="3"/>
  <c r="H8" i="3"/>
  <c r="D8" i="3"/>
  <c r="T7" i="3"/>
  <c r="T19" i="3" s="1"/>
  <c r="T20" i="3" s="1"/>
  <c r="T21" i="3" s="1"/>
  <c r="P7" i="3"/>
  <c r="P19" i="3" s="1"/>
  <c r="P20" i="3" s="1"/>
  <c r="P21" i="3" s="1"/>
  <c r="L7" i="3"/>
  <c r="H7" i="3"/>
  <c r="D7" i="3"/>
  <c r="T6" i="3"/>
  <c r="P6" i="3"/>
  <c r="L6" i="3"/>
  <c r="H6" i="3"/>
  <c r="D6" i="3"/>
  <c r="T5" i="3"/>
  <c r="P5" i="3"/>
  <c r="L5" i="3"/>
  <c r="H5" i="3"/>
  <c r="H19" i="3" s="1"/>
  <c r="H20" i="3" s="1"/>
  <c r="H21" i="3" s="1"/>
  <c r="D5" i="3"/>
  <c r="D19" i="3" s="1"/>
  <c r="D20" i="3" s="1"/>
  <c r="D21" i="3" s="1"/>
  <c r="S18" i="2"/>
  <c r="O18" i="2"/>
  <c r="K18" i="2"/>
  <c r="G18" i="2"/>
  <c r="C18" i="2"/>
  <c r="T17" i="2"/>
  <c r="P17" i="2"/>
  <c r="L17" i="2"/>
  <c r="H17" i="2"/>
  <c r="D17" i="2"/>
  <c r="T16" i="2"/>
  <c r="P16" i="2"/>
  <c r="L16" i="2"/>
  <c r="H16" i="2"/>
  <c r="D16" i="2"/>
  <c r="T15" i="2"/>
  <c r="P15" i="2"/>
  <c r="L15" i="2"/>
  <c r="H15" i="2"/>
  <c r="D15" i="2"/>
  <c r="D18" i="2" s="1"/>
  <c r="D19" i="2" s="1"/>
  <c r="D20" i="2" s="1"/>
  <c r="C23" i="2" s="1"/>
  <c r="C25" i="2" s="1"/>
  <c r="T14" i="2"/>
  <c r="P14" i="2"/>
  <c r="L14" i="2"/>
  <c r="H14" i="2"/>
  <c r="D14" i="2"/>
  <c r="T13" i="2"/>
  <c r="P13" i="2"/>
  <c r="L13" i="2"/>
  <c r="H13" i="2"/>
  <c r="D13" i="2"/>
  <c r="T12" i="2"/>
  <c r="P12" i="2"/>
  <c r="L12" i="2"/>
  <c r="H12" i="2"/>
  <c r="H18" i="2" s="1"/>
  <c r="H19" i="2" s="1"/>
  <c r="H20" i="2" s="1"/>
  <c r="D12" i="2"/>
  <c r="T11" i="2"/>
  <c r="P11" i="2"/>
  <c r="L11" i="2"/>
  <c r="H11" i="2"/>
  <c r="D11" i="2"/>
  <c r="T10" i="2"/>
  <c r="P10" i="2"/>
  <c r="L10" i="2"/>
  <c r="H10" i="2"/>
  <c r="D10" i="2"/>
  <c r="T9" i="2"/>
  <c r="P9" i="2"/>
  <c r="L9" i="2"/>
  <c r="H9" i="2"/>
  <c r="D9" i="2"/>
  <c r="T8" i="2"/>
  <c r="P8" i="2"/>
  <c r="L8" i="2"/>
  <c r="H8" i="2"/>
  <c r="D8" i="2"/>
  <c r="T7" i="2"/>
  <c r="P7" i="2"/>
  <c r="L7" i="2"/>
  <c r="H7" i="2"/>
  <c r="D7" i="2"/>
  <c r="T6" i="2"/>
  <c r="P6" i="2"/>
  <c r="L6" i="2"/>
  <c r="H6" i="2"/>
  <c r="D6" i="2"/>
  <c r="T5" i="2"/>
  <c r="T18" i="2" s="1"/>
  <c r="T19" i="2" s="1"/>
  <c r="T20" i="2" s="1"/>
  <c r="P5" i="2"/>
  <c r="P18" i="2" s="1"/>
  <c r="P19" i="2" s="1"/>
  <c r="P20" i="2" s="1"/>
  <c r="L5" i="2"/>
  <c r="L18" i="2" s="1"/>
  <c r="L19" i="2" s="1"/>
  <c r="L20" i="2" s="1"/>
  <c r="H5" i="2"/>
  <c r="D5" i="2"/>
  <c r="C25" i="5" l="1"/>
  <c r="C27" i="5" s="1"/>
  <c r="C25" i="7"/>
  <c r="C27" i="7" s="1"/>
  <c r="C24" i="3"/>
  <c r="C26" i="3" s="1"/>
  <c r="C22" i="6"/>
  <c r="C24" i="6" s="1"/>
</calcChain>
</file>

<file path=xl/sharedStrings.xml><?xml version="1.0" encoding="utf-8"?>
<sst xmlns="http://schemas.openxmlformats.org/spreadsheetml/2006/main" count="227" uniqueCount="24">
  <si>
    <t>Wide Scan – EP3</t>
  </si>
  <si>
    <t>Detector angle</t>
  </si>
  <si>
    <t>Rate at 35kV</t>
  </si>
  <si>
    <t>2*theta/�</t>
  </si>
  <si>
    <t>R(35kV)/Imp/s</t>
  </si>
  <si>
    <t>Peak 1 - EP3 - All Trials</t>
  </si>
  <si>
    <t>Trial 1</t>
  </si>
  <si>
    <t>Trial 2</t>
  </si>
  <si>
    <t>Trial 3</t>
  </si>
  <si>
    <t>Trial 4</t>
  </si>
  <si>
    <t>Trial 5</t>
  </si>
  <si>
    <t>angle*impulse</t>
  </si>
  <si>
    <t>2*theta/deg</t>
  </si>
  <si>
    <t xml:space="preserve">Peaks (in degree) (2*theta)= </t>
  </si>
  <si>
    <t xml:space="preserve">THETA in radian = </t>
  </si>
  <si>
    <t xml:space="preserve">avg = </t>
  </si>
  <si>
    <t xml:space="preserve">lambda = </t>
  </si>
  <si>
    <t>d= n*lambda / 2* sin theta</t>
  </si>
  <si>
    <t xml:space="preserve">in angstorm </t>
  </si>
  <si>
    <t>Peak 2 - EP3 - All Trials</t>
  </si>
  <si>
    <t>Peak 3 - EP3 - All Trials</t>
  </si>
  <si>
    <t>Peak 4 - EP3 - All Trials</t>
  </si>
  <si>
    <t>Peak 5 - EP3 - All Trials</t>
  </si>
  <si>
    <t>Peak 6 - EP3 - All Trials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</si>
</sst>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0"/>
      <name val="Calibri"/>
    </font>
    <font>
      <sz val="10"/>
      <name val="Calibri"/>
    </font>
    <font>
      <b/>
      <sz val="11"/>
      <color rgb="FFFFFFFF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2E75B6"/>
      </patternFill>
    </fill>
    <fill>
      <patternFill patternType="solid">
        <fgColor rgb="FFEAF2FB"/>
      </patternFill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EAF2FB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/>
    </xf>
    <xf numFmtId="0" fontId="2" fillId="5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center" vertical="center" wrapText="1"/>
    </xf>
    <xf numFmtId="0" fontId="2" fillId="9" borderId="5" xfId="0" applyFont="1" applyFill="1" applyBorder="1" applyAlignment="1">
      <alignment horizontal="center" vertical="center" wrapText="1"/>
    </xf>
    <xf numFmtId="0" fontId="3" fillId="8" borderId="5" xfId="0" applyFont="1" applyFill="1" applyBorder="1" applyAlignment="1">
      <alignment horizontal="center" vertical="center" wrapText="1"/>
    </xf>
    <xf numFmtId="0" fontId="3" fillId="9" borderId="5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right"/>
    </xf>
    <xf numFmtId="0" fontId="3" fillId="0" borderId="0" xfId="0" applyFont="1"/>
    <xf numFmtId="0" fontId="2" fillId="0" borderId="0" xfId="0" applyFont="1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4" fillId="7" borderId="3" xfId="0" applyFont="1" applyFill="1" applyBorder="1" applyAlignment="1">
      <alignment horizontal="center" vertical="center" wrapText="1"/>
    </xf>
    <xf numFmtId="0" fontId="0" fillId="0" borderId="3" xfId="0" applyBorder="1"/>
    <xf numFmtId="0" fontId="4" fillId="7" borderId="1" xfId="0" applyFont="1" applyFill="1" applyBorder="1" applyAlignment="1">
      <alignment horizontal="center" vertical="center" wrapText="1"/>
    </xf>
    <xf numFmtId="0" fontId="4" fillId="7" borderId="0" xfId="0" applyFont="1" applyFill="1" applyAlignment="1">
      <alignment horizontal="center" vertical="center" wrapText="1"/>
    </xf>
    <xf numFmtId="0" fontId="0" fillId="0" borderId="0" xfId="0"/>
    <xf numFmtId="0" fontId="4" fillId="6" borderId="0" xfId="0" applyFont="1" applyFill="1" applyAlignment="1">
      <alignment horizontal="center" vertical="center" wrapText="1"/>
    </xf>
    <xf numFmtId="0" fontId="0" fillId="0" borderId="4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Widescan</a:t>
            </a:r>
            <a:r>
              <a:rPr lang="en-IN" baseline="0"/>
              <a:t> #2 for KBr</a:t>
            </a:r>
            <a:endParaRPr lang="en-IN"/>
          </a:p>
        </c:rich>
      </c:tx>
      <c:layout>
        <c:manualLayout>
          <c:xMode val="edge"/>
          <c:yMode val="edge"/>
          <c:x val="0.38051125611145509"/>
          <c:y val="1.387318597169651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481522672918165"/>
          <c:y val="9.8060484906082906E-2"/>
          <c:w val="0.84392331114541996"/>
          <c:h val="0.76134260397151821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Widescan!$A$4:$A$254</c:f>
              <c:numCache>
                <c:formatCode>General</c:formatCode>
                <c:ptCount val="251"/>
                <c:pt idx="0">
                  <c:v>10</c:v>
                </c:pt>
                <c:pt idx="1">
                  <c:v>10.3</c:v>
                </c:pt>
                <c:pt idx="2">
                  <c:v>10.8</c:v>
                </c:pt>
                <c:pt idx="3">
                  <c:v>11.2</c:v>
                </c:pt>
                <c:pt idx="4">
                  <c:v>11.6</c:v>
                </c:pt>
                <c:pt idx="5">
                  <c:v>12</c:v>
                </c:pt>
                <c:pt idx="6">
                  <c:v>12.4</c:v>
                </c:pt>
                <c:pt idx="7">
                  <c:v>12.8</c:v>
                </c:pt>
                <c:pt idx="8">
                  <c:v>13.2</c:v>
                </c:pt>
                <c:pt idx="9">
                  <c:v>13.6</c:v>
                </c:pt>
                <c:pt idx="10">
                  <c:v>14</c:v>
                </c:pt>
                <c:pt idx="11">
                  <c:v>14.4</c:v>
                </c:pt>
                <c:pt idx="12">
                  <c:v>14.8</c:v>
                </c:pt>
                <c:pt idx="13">
                  <c:v>15.2</c:v>
                </c:pt>
                <c:pt idx="14">
                  <c:v>15.6</c:v>
                </c:pt>
                <c:pt idx="15">
                  <c:v>16</c:v>
                </c:pt>
                <c:pt idx="16">
                  <c:v>16.399999999999999</c:v>
                </c:pt>
                <c:pt idx="17">
                  <c:v>16.7</c:v>
                </c:pt>
                <c:pt idx="18">
                  <c:v>17.2</c:v>
                </c:pt>
                <c:pt idx="19">
                  <c:v>17.600000000000001</c:v>
                </c:pt>
                <c:pt idx="20">
                  <c:v>18</c:v>
                </c:pt>
                <c:pt idx="21">
                  <c:v>18.399999999999999</c:v>
                </c:pt>
                <c:pt idx="22">
                  <c:v>18.7</c:v>
                </c:pt>
                <c:pt idx="23">
                  <c:v>19.2</c:v>
                </c:pt>
                <c:pt idx="24">
                  <c:v>19.600000000000001</c:v>
                </c:pt>
                <c:pt idx="25">
                  <c:v>20</c:v>
                </c:pt>
                <c:pt idx="26">
                  <c:v>20.399999999999999</c:v>
                </c:pt>
                <c:pt idx="27">
                  <c:v>20.7</c:v>
                </c:pt>
                <c:pt idx="28">
                  <c:v>21.2</c:v>
                </c:pt>
                <c:pt idx="29">
                  <c:v>21.6</c:v>
                </c:pt>
                <c:pt idx="30">
                  <c:v>22</c:v>
                </c:pt>
                <c:pt idx="31">
                  <c:v>22.4</c:v>
                </c:pt>
                <c:pt idx="32">
                  <c:v>22.7</c:v>
                </c:pt>
                <c:pt idx="33">
                  <c:v>23.2</c:v>
                </c:pt>
                <c:pt idx="34">
                  <c:v>23.6</c:v>
                </c:pt>
                <c:pt idx="35">
                  <c:v>24</c:v>
                </c:pt>
                <c:pt idx="36">
                  <c:v>24.4</c:v>
                </c:pt>
                <c:pt idx="37">
                  <c:v>24.8</c:v>
                </c:pt>
                <c:pt idx="38">
                  <c:v>25.2</c:v>
                </c:pt>
                <c:pt idx="39">
                  <c:v>25.6</c:v>
                </c:pt>
                <c:pt idx="40">
                  <c:v>26</c:v>
                </c:pt>
                <c:pt idx="41">
                  <c:v>26.4</c:v>
                </c:pt>
                <c:pt idx="42">
                  <c:v>26.8</c:v>
                </c:pt>
                <c:pt idx="43">
                  <c:v>27.2</c:v>
                </c:pt>
                <c:pt idx="44">
                  <c:v>27.6</c:v>
                </c:pt>
                <c:pt idx="45">
                  <c:v>28</c:v>
                </c:pt>
                <c:pt idx="46">
                  <c:v>28.4</c:v>
                </c:pt>
                <c:pt idx="47">
                  <c:v>28.8</c:v>
                </c:pt>
                <c:pt idx="48">
                  <c:v>29.2</c:v>
                </c:pt>
                <c:pt idx="49">
                  <c:v>29.6</c:v>
                </c:pt>
                <c:pt idx="50">
                  <c:v>30</c:v>
                </c:pt>
                <c:pt idx="51">
                  <c:v>30.4</c:v>
                </c:pt>
                <c:pt idx="52">
                  <c:v>30.8</c:v>
                </c:pt>
                <c:pt idx="53">
                  <c:v>31.2</c:v>
                </c:pt>
                <c:pt idx="54">
                  <c:v>31.6</c:v>
                </c:pt>
                <c:pt idx="55">
                  <c:v>32</c:v>
                </c:pt>
                <c:pt idx="56">
                  <c:v>32.4</c:v>
                </c:pt>
                <c:pt idx="57">
                  <c:v>32.799999999999997</c:v>
                </c:pt>
                <c:pt idx="58">
                  <c:v>33.200000000000003</c:v>
                </c:pt>
                <c:pt idx="59">
                  <c:v>33.5</c:v>
                </c:pt>
                <c:pt idx="60">
                  <c:v>34</c:v>
                </c:pt>
                <c:pt idx="61">
                  <c:v>34.4</c:v>
                </c:pt>
                <c:pt idx="62">
                  <c:v>34.799999999999997</c:v>
                </c:pt>
                <c:pt idx="63">
                  <c:v>35.200000000000003</c:v>
                </c:pt>
                <c:pt idx="64">
                  <c:v>35.5</c:v>
                </c:pt>
                <c:pt idx="65">
                  <c:v>36</c:v>
                </c:pt>
                <c:pt idx="66">
                  <c:v>36.4</c:v>
                </c:pt>
                <c:pt idx="67">
                  <c:v>36.799999999999997</c:v>
                </c:pt>
                <c:pt idx="68">
                  <c:v>37.200000000000003</c:v>
                </c:pt>
                <c:pt idx="69">
                  <c:v>37.5</c:v>
                </c:pt>
                <c:pt idx="70">
                  <c:v>38</c:v>
                </c:pt>
                <c:pt idx="71">
                  <c:v>38.4</c:v>
                </c:pt>
                <c:pt idx="72">
                  <c:v>38.799999999999997</c:v>
                </c:pt>
                <c:pt idx="73">
                  <c:v>39.200000000000003</c:v>
                </c:pt>
                <c:pt idx="74">
                  <c:v>39.5</c:v>
                </c:pt>
                <c:pt idx="75">
                  <c:v>40</c:v>
                </c:pt>
                <c:pt idx="76">
                  <c:v>40.4</c:v>
                </c:pt>
                <c:pt idx="77">
                  <c:v>40.799999999999997</c:v>
                </c:pt>
                <c:pt idx="78">
                  <c:v>41.2</c:v>
                </c:pt>
                <c:pt idx="79">
                  <c:v>41.5</c:v>
                </c:pt>
                <c:pt idx="80">
                  <c:v>42</c:v>
                </c:pt>
                <c:pt idx="81">
                  <c:v>42.4</c:v>
                </c:pt>
                <c:pt idx="82">
                  <c:v>42.8</c:v>
                </c:pt>
                <c:pt idx="83">
                  <c:v>43.2</c:v>
                </c:pt>
                <c:pt idx="84">
                  <c:v>43.5</c:v>
                </c:pt>
                <c:pt idx="85">
                  <c:v>44</c:v>
                </c:pt>
                <c:pt idx="86">
                  <c:v>44.4</c:v>
                </c:pt>
                <c:pt idx="87">
                  <c:v>44.8</c:v>
                </c:pt>
                <c:pt idx="88">
                  <c:v>45.2</c:v>
                </c:pt>
                <c:pt idx="89">
                  <c:v>45.5</c:v>
                </c:pt>
                <c:pt idx="90">
                  <c:v>46</c:v>
                </c:pt>
                <c:pt idx="91">
                  <c:v>46.4</c:v>
                </c:pt>
                <c:pt idx="92">
                  <c:v>46.8</c:v>
                </c:pt>
                <c:pt idx="93">
                  <c:v>47.2</c:v>
                </c:pt>
                <c:pt idx="94">
                  <c:v>47.5</c:v>
                </c:pt>
                <c:pt idx="95">
                  <c:v>48</c:v>
                </c:pt>
                <c:pt idx="96">
                  <c:v>48.4</c:v>
                </c:pt>
                <c:pt idx="97">
                  <c:v>48.8</c:v>
                </c:pt>
                <c:pt idx="98">
                  <c:v>49.2</c:v>
                </c:pt>
                <c:pt idx="99">
                  <c:v>49.6</c:v>
                </c:pt>
                <c:pt idx="100">
                  <c:v>50</c:v>
                </c:pt>
                <c:pt idx="101">
                  <c:v>50.4</c:v>
                </c:pt>
                <c:pt idx="102">
                  <c:v>50.8</c:v>
                </c:pt>
                <c:pt idx="103">
                  <c:v>51.2</c:v>
                </c:pt>
                <c:pt idx="104">
                  <c:v>51.6</c:v>
                </c:pt>
                <c:pt idx="105">
                  <c:v>52</c:v>
                </c:pt>
                <c:pt idx="106">
                  <c:v>52.4</c:v>
                </c:pt>
                <c:pt idx="107">
                  <c:v>52.8</c:v>
                </c:pt>
                <c:pt idx="108">
                  <c:v>53.2</c:v>
                </c:pt>
                <c:pt idx="109">
                  <c:v>53.6</c:v>
                </c:pt>
                <c:pt idx="110">
                  <c:v>54</c:v>
                </c:pt>
                <c:pt idx="111">
                  <c:v>54.4</c:v>
                </c:pt>
                <c:pt idx="112">
                  <c:v>54.8</c:v>
                </c:pt>
                <c:pt idx="113">
                  <c:v>55.2</c:v>
                </c:pt>
                <c:pt idx="114">
                  <c:v>55.6</c:v>
                </c:pt>
                <c:pt idx="115">
                  <c:v>56</c:v>
                </c:pt>
                <c:pt idx="116">
                  <c:v>56.4</c:v>
                </c:pt>
                <c:pt idx="117">
                  <c:v>56.8</c:v>
                </c:pt>
                <c:pt idx="118">
                  <c:v>57.2</c:v>
                </c:pt>
                <c:pt idx="119">
                  <c:v>57.6</c:v>
                </c:pt>
                <c:pt idx="120">
                  <c:v>58</c:v>
                </c:pt>
                <c:pt idx="121">
                  <c:v>58.4</c:v>
                </c:pt>
                <c:pt idx="122">
                  <c:v>58.8</c:v>
                </c:pt>
                <c:pt idx="123">
                  <c:v>59.2</c:v>
                </c:pt>
                <c:pt idx="124">
                  <c:v>59.6</c:v>
                </c:pt>
                <c:pt idx="125">
                  <c:v>60</c:v>
                </c:pt>
                <c:pt idx="126">
                  <c:v>60.4</c:v>
                </c:pt>
                <c:pt idx="127">
                  <c:v>60.8</c:v>
                </c:pt>
                <c:pt idx="128">
                  <c:v>61.2</c:v>
                </c:pt>
                <c:pt idx="129">
                  <c:v>61.6</c:v>
                </c:pt>
                <c:pt idx="130">
                  <c:v>62</c:v>
                </c:pt>
                <c:pt idx="131">
                  <c:v>62.4</c:v>
                </c:pt>
                <c:pt idx="132">
                  <c:v>62.8</c:v>
                </c:pt>
                <c:pt idx="133">
                  <c:v>63.2</c:v>
                </c:pt>
                <c:pt idx="134">
                  <c:v>63.6</c:v>
                </c:pt>
                <c:pt idx="135">
                  <c:v>64</c:v>
                </c:pt>
                <c:pt idx="136">
                  <c:v>64.400000000000006</c:v>
                </c:pt>
                <c:pt idx="137">
                  <c:v>64.8</c:v>
                </c:pt>
                <c:pt idx="138">
                  <c:v>65.099999999999994</c:v>
                </c:pt>
                <c:pt idx="139">
                  <c:v>65.599999999999994</c:v>
                </c:pt>
                <c:pt idx="140">
                  <c:v>66</c:v>
                </c:pt>
                <c:pt idx="141">
                  <c:v>66.400000000000006</c:v>
                </c:pt>
                <c:pt idx="142">
                  <c:v>66.8</c:v>
                </c:pt>
                <c:pt idx="143">
                  <c:v>67.099999999999994</c:v>
                </c:pt>
                <c:pt idx="144">
                  <c:v>67.599999999999994</c:v>
                </c:pt>
                <c:pt idx="145">
                  <c:v>68</c:v>
                </c:pt>
                <c:pt idx="146">
                  <c:v>68.400000000000006</c:v>
                </c:pt>
                <c:pt idx="147">
                  <c:v>68.8</c:v>
                </c:pt>
                <c:pt idx="148">
                  <c:v>69.099999999999994</c:v>
                </c:pt>
                <c:pt idx="149">
                  <c:v>69.599999999999994</c:v>
                </c:pt>
                <c:pt idx="150">
                  <c:v>70</c:v>
                </c:pt>
                <c:pt idx="151">
                  <c:v>70.400000000000006</c:v>
                </c:pt>
                <c:pt idx="152">
                  <c:v>70.8</c:v>
                </c:pt>
                <c:pt idx="153">
                  <c:v>71.099999999999994</c:v>
                </c:pt>
                <c:pt idx="154">
                  <c:v>71.599999999999994</c:v>
                </c:pt>
                <c:pt idx="155">
                  <c:v>72</c:v>
                </c:pt>
                <c:pt idx="156">
                  <c:v>72.400000000000006</c:v>
                </c:pt>
                <c:pt idx="157">
                  <c:v>72.8</c:v>
                </c:pt>
                <c:pt idx="158">
                  <c:v>73.099999999999994</c:v>
                </c:pt>
                <c:pt idx="159">
                  <c:v>73.599999999999994</c:v>
                </c:pt>
                <c:pt idx="160">
                  <c:v>74</c:v>
                </c:pt>
                <c:pt idx="161">
                  <c:v>74.400000000000006</c:v>
                </c:pt>
                <c:pt idx="162">
                  <c:v>74.8</c:v>
                </c:pt>
                <c:pt idx="163">
                  <c:v>75.099999999999994</c:v>
                </c:pt>
                <c:pt idx="164">
                  <c:v>75.599999999999994</c:v>
                </c:pt>
                <c:pt idx="165">
                  <c:v>76</c:v>
                </c:pt>
                <c:pt idx="166">
                  <c:v>76.400000000000006</c:v>
                </c:pt>
                <c:pt idx="167">
                  <c:v>76.8</c:v>
                </c:pt>
                <c:pt idx="168">
                  <c:v>77.099999999999994</c:v>
                </c:pt>
                <c:pt idx="169">
                  <c:v>77.599999999999994</c:v>
                </c:pt>
                <c:pt idx="170">
                  <c:v>78</c:v>
                </c:pt>
                <c:pt idx="171">
                  <c:v>78.400000000000006</c:v>
                </c:pt>
                <c:pt idx="172">
                  <c:v>78.8</c:v>
                </c:pt>
                <c:pt idx="173">
                  <c:v>79.099999999999994</c:v>
                </c:pt>
                <c:pt idx="174">
                  <c:v>79.599999999999994</c:v>
                </c:pt>
                <c:pt idx="175">
                  <c:v>80</c:v>
                </c:pt>
                <c:pt idx="176">
                  <c:v>80.400000000000006</c:v>
                </c:pt>
                <c:pt idx="177">
                  <c:v>80.8</c:v>
                </c:pt>
                <c:pt idx="178">
                  <c:v>81.099999999999994</c:v>
                </c:pt>
                <c:pt idx="179">
                  <c:v>81.599999999999994</c:v>
                </c:pt>
                <c:pt idx="180">
                  <c:v>82</c:v>
                </c:pt>
                <c:pt idx="181">
                  <c:v>82.4</c:v>
                </c:pt>
                <c:pt idx="182">
                  <c:v>82.8</c:v>
                </c:pt>
                <c:pt idx="183">
                  <c:v>83.1</c:v>
                </c:pt>
                <c:pt idx="184">
                  <c:v>83.6</c:v>
                </c:pt>
                <c:pt idx="185">
                  <c:v>84</c:v>
                </c:pt>
                <c:pt idx="186">
                  <c:v>84.4</c:v>
                </c:pt>
                <c:pt idx="187">
                  <c:v>84.8</c:v>
                </c:pt>
                <c:pt idx="188">
                  <c:v>85.1</c:v>
                </c:pt>
                <c:pt idx="189">
                  <c:v>85.6</c:v>
                </c:pt>
                <c:pt idx="190">
                  <c:v>86</c:v>
                </c:pt>
                <c:pt idx="191">
                  <c:v>86.4</c:v>
                </c:pt>
                <c:pt idx="192">
                  <c:v>86.8</c:v>
                </c:pt>
                <c:pt idx="193">
                  <c:v>87.1</c:v>
                </c:pt>
                <c:pt idx="194">
                  <c:v>87.6</c:v>
                </c:pt>
                <c:pt idx="195">
                  <c:v>88</c:v>
                </c:pt>
                <c:pt idx="196">
                  <c:v>88.4</c:v>
                </c:pt>
                <c:pt idx="197">
                  <c:v>88.8</c:v>
                </c:pt>
                <c:pt idx="198">
                  <c:v>89.1</c:v>
                </c:pt>
                <c:pt idx="199">
                  <c:v>89.6</c:v>
                </c:pt>
                <c:pt idx="200">
                  <c:v>90</c:v>
                </c:pt>
                <c:pt idx="201">
                  <c:v>90.4</c:v>
                </c:pt>
                <c:pt idx="202">
                  <c:v>90.8</c:v>
                </c:pt>
                <c:pt idx="203">
                  <c:v>91.1</c:v>
                </c:pt>
                <c:pt idx="204">
                  <c:v>91.6</c:v>
                </c:pt>
                <c:pt idx="205">
                  <c:v>92</c:v>
                </c:pt>
                <c:pt idx="206">
                  <c:v>92.4</c:v>
                </c:pt>
                <c:pt idx="207">
                  <c:v>92.8</c:v>
                </c:pt>
                <c:pt idx="208">
                  <c:v>93.1</c:v>
                </c:pt>
                <c:pt idx="209">
                  <c:v>93.6</c:v>
                </c:pt>
                <c:pt idx="210">
                  <c:v>94</c:v>
                </c:pt>
                <c:pt idx="211">
                  <c:v>94.4</c:v>
                </c:pt>
                <c:pt idx="212">
                  <c:v>94.8</c:v>
                </c:pt>
                <c:pt idx="213">
                  <c:v>95.1</c:v>
                </c:pt>
                <c:pt idx="214">
                  <c:v>95.6</c:v>
                </c:pt>
                <c:pt idx="215">
                  <c:v>96</c:v>
                </c:pt>
                <c:pt idx="216">
                  <c:v>96.4</c:v>
                </c:pt>
                <c:pt idx="217">
                  <c:v>96.8</c:v>
                </c:pt>
                <c:pt idx="218">
                  <c:v>97.1</c:v>
                </c:pt>
                <c:pt idx="219">
                  <c:v>97.6</c:v>
                </c:pt>
                <c:pt idx="220">
                  <c:v>98</c:v>
                </c:pt>
                <c:pt idx="221">
                  <c:v>98.4</c:v>
                </c:pt>
                <c:pt idx="222">
                  <c:v>98.8</c:v>
                </c:pt>
                <c:pt idx="223">
                  <c:v>99.1</c:v>
                </c:pt>
                <c:pt idx="224">
                  <c:v>99.6</c:v>
                </c:pt>
                <c:pt idx="225">
                  <c:v>100</c:v>
                </c:pt>
                <c:pt idx="226">
                  <c:v>100.4</c:v>
                </c:pt>
                <c:pt idx="227">
                  <c:v>100.8</c:v>
                </c:pt>
                <c:pt idx="228">
                  <c:v>101.2</c:v>
                </c:pt>
                <c:pt idx="229">
                  <c:v>101.6</c:v>
                </c:pt>
                <c:pt idx="230">
                  <c:v>102</c:v>
                </c:pt>
                <c:pt idx="231">
                  <c:v>102.4</c:v>
                </c:pt>
                <c:pt idx="232">
                  <c:v>102.8</c:v>
                </c:pt>
                <c:pt idx="233">
                  <c:v>103.2</c:v>
                </c:pt>
                <c:pt idx="234">
                  <c:v>103.6</c:v>
                </c:pt>
                <c:pt idx="235">
                  <c:v>104</c:v>
                </c:pt>
                <c:pt idx="236">
                  <c:v>104.4</c:v>
                </c:pt>
                <c:pt idx="237">
                  <c:v>104.8</c:v>
                </c:pt>
                <c:pt idx="238">
                  <c:v>105.2</c:v>
                </c:pt>
                <c:pt idx="239">
                  <c:v>105.6</c:v>
                </c:pt>
                <c:pt idx="240">
                  <c:v>106</c:v>
                </c:pt>
                <c:pt idx="241">
                  <c:v>106.4</c:v>
                </c:pt>
                <c:pt idx="242">
                  <c:v>106.8</c:v>
                </c:pt>
                <c:pt idx="243">
                  <c:v>107.2</c:v>
                </c:pt>
                <c:pt idx="244">
                  <c:v>107.6</c:v>
                </c:pt>
                <c:pt idx="245">
                  <c:v>108</c:v>
                </c:pt>
                <c:pt idx="246">
                  <c:v>108.4</c:v>
                </c:pt>
                <c:pt idx="247">
                  <c:v>108.8</c:v>
                </c:pt>
                <c:pt idx="248">
                  <c:v>109.2</c:v>
                </c:pt>
                <c:pt idx="249">
                  <c:v>109.6</c:v>
                </c:pt>
                <c:pt idx="250">
                  <c:v>110</c:v>
                </c:pt>
              </c:numCache>
            </c:numRef>
          </c:xVal>
          <c:yVal>
            <c:numRef>
              <c:f>Widescan!$B$4:$B$254</c:f>
              <c:numCache>
                <c:formatCode>General</c:formatCode>
                <c:ptCount val="251"/>
                <c:pt idx="0">
                  <c:v>95</c:v>
                </c:pt>
                <c:pt idx="1">
                  <c:v>88</c:v>
                </c:pt>
                <c:pt idx="2">
                  <c:v>95</c:v>
                </c:pt>
                <c:pt idx="3">
                  <c:v>88</c:v>
                </c:pt>
                <c:pt idx="4">
                  <c:v>95</c:v>
                </c:pt>
                <c:pt idx="5">
                  <c:v>86</c:v>
                </c:pt>
                <c:pt idx="6">
                  <c:v>90</c:v>
                </c:pt>
                <c:pt idx="7">
                  <c:v>82</c:v>
                </c:pt>
                <c:pt idx="8">
                  <c:v>90</c:v>
                </c:pt>
                <c:pt idx="9">
                  <c:v>74</c:v>
                </c:pt>
                <c:pt idx="10">
                  <c:v>91</c:v>
                </c:pt>
                <c:pt idx="11">
                  <c:v>92</c:v>
                </c:pt>
                <c:pt idx="12">
                  <c:v>85</c:v>
                </c:pt>
                <c:pt idx="13">
                  <c:v>84</c:v>
                </c:pt>
                <c:pt idx="14">
                  <c:v>79</c:v>
                </c:pt>
                <c:pt idx="15">
                  <c:v>75</c:v>
                </c:pt>
                <c:pt idx="16">
                  <c:v>84</c:v>
                </c:pt>
                <c:pt idx="17">
                  <c:v>127</c:v>
                </c:pt>
                <c:pt idx="18">
                  <c:v>147</c:v>
                </c:pt>
                <c:pt idx="19">
                  <c:v>146</c:v>
                </c:pt>
                <c:pt idx="20">
                  <c:v>136</c:v>
                </c:pt>
                <c:pt idx="21">
                  <c:v>128</c:v>
                </c:pt>
                <c:pt idx="22">
                  <c:v>126</c:v>
                </c:pt>
                <c:pt idx="23">
                  <c:v>134</c:v>
                </c:pt>
                <c:pt idx="24">
                  <c:v>122</c:v>
                </c:pt>
                <c:pt idx="25">
                  <c:v>111</c:v>
                </c:pt>
                <c:pt idx="26">
                  <c:v>109</c:v>
                </c:pt>
                <c:pt idx="27">
                  <c:v>103</c:v>
                </c:pt>
                <c:pt idx="28">
                  <c:v>94</c:v>
                </c:pt>
                <c:pt idx="29">
                  <c:v>94</c:v>
                </c:pt>
                <c:pt idx="30">
                  <c:v>91</c:v>
                </c:pt>
                <c:pt idx="31">
                  <c:v>91</c:v>
                </c:pt>
                <c:pt idx="32">
                  <c:v>83</c:v>
                </c:pt>
                <c:pt idx="33">
                  <c:v>87</c:v>
                </c:pt>
                <c:pt idx="34">
                  <c:v>80</c:v>
                </c:pt>
                <c:pt idx="35">
                  <c:v>85</c:v>
                </c:pt>
                <c:pt idx="36">
                  <c:v>139</c:v>
                </c:pt>
                <c:pt idx="37">
                  <c:v>581</c:v>
                </c:pt>
                <c:pt idx="38">
                  <c:v>606</c:v>
                </c:pt>
                <c:pt idx="39">
                  <c:v>230</c:v>
                </c:pt>
                <c:pt idx="40">
                  <c:v>103</c:v>
                </c:pt>
                <c:pt idx="41">
                  <c:v>116</c:v>
                </c:pt>
                <c:pt idx="42">
                  <c:v>238</c:v>
                </c:pt>
                <c:pt idx="43">
                  <c:v>796</c:v>
                </c:pt>
                <c:pt idx="44">
                  <c:v>2523</c:v>
                </c:pt>
                <c:pt idx="45">
                  <c:v>1360</c:v>
                </c:pt>
                <c:pt idx="46">
                  <c:v>315</c:v>
                </c:pt>
                <c:pt idx="47">
                  <c:v>87</c:v>
                </c:pt>
                <c:pt idx="48">
                  <c:v>71</c:v>
                </c:pt>
                <c:pt idx="49">
                  <c:v>62</c:v>
                </c:pt>
                <c:pt idx="50">
                  <c:v>55</c:v>
                </c:pt>
                <c:pt idx="51">
                  <c:v>53</c:v>
                </c:pt>
                <c:pt idx="52">
                  <c:v>61</c:v>
                </c:pt>
                <c:pt idx="53">
                  <c:v>46</c:v>
                </c:pt>
                <c:pt idx="54">
                  <c:v>48</c:v>
                </c:pt>
                <c:pt idx="55">
                  <c:v>51</c:v>
                </c:pt>
                <c:pt idx="56">
                  <c:v>49</c:v>
                </c:pt>
                <c:pt idx="57">
                  <c:v>48</c:v>
                </c:pt>
                <c:pt idx="58">
                  <c:v>57</c:v>
                </c:pt>
                <c:pt idx="59">
                  <c:v>52</c:v>
                </c:pt>
                <c:pt idx="60">
                  <c:v>49</c:v>
                </c:pt>
                <c:pt idx="61">
                  <c:v>49</c:v>
                </c:pt>
                <c:pt idx="62">
                  <c:v>51</c:v>
                </c:pt>
                <c:pt idx="63">
                  <c:v>49</c:v>
                </c:pt>
                <c:pt idx="64">
                  <c:v>53</c:v>
                </c:pt>
                <c:pt idx="65">
                  <c:v>47</c:v>
                </c:pt>
                <c:pt idx="66">
                  <c:v>46</c:v>
                </c:pt>
                <c:pt idx="67">
                  <c:v>40</c:v>
                </c:pt>
                <c:pt idx="68">
                  <c:v>42</c:v>
                </c:pt>
                <c:pt idx="69">
                  <c:v>47</c:v>
                </c:pt>
                <c:pt idx="70">
                  <c:v>44</c:v>
                </c:pt>
                <c:pt idx="71">
                  <c:v>43</c:v>
                </c:pt>
                <c:pt idx="72">
                  <c:v>41</c:v>
                </c:pt>
                <c:pt idx="73">
                  <c:v>42</c:v>
                </c:pt>
                <c:pt idx="74">
                  <c:v>45</c:v>
                </c:pt>
                <c:pt idx="75">
                  <c:v>37</c:v>
                </c:pt>
                <c:pt idx="76">
                  <c:v>36</c:v>
                </c:pt>
                <c:pt idx="77">
                  <c:v>36</c:v>
                </c:pt>
                <c:pt idx="78">
                  <c:v>39</c:v>
                </c:pt>
                <c:pt idx="79">
                  <c:v>41</c:v>
                </c:pt>
                <c:pt idx="80">
                  <c:v>33</c:v>
                </c:pt>
                <c:pt idx="81">
                  <c:v>40</c:v>
                </c:pt>
                <c:pt idx="82">
                  <c:v>37</c:v>
                </c:pt>
                <c:pt idx="83">
                  <c:v>34</c:v>
                </c:pt>
                <c:pt idx="84">
                  <c:v>35</c:v>
                </c:pt>
                <c:pt idx="85">
                  <c:v>33</c:v>
                </c:pt>
                <c:pt idx="86">
                  <c:v>39</c:v>
                </c:pt>
                <c:pt idx="87">
                  <c:v>32</c:v>
                </c:pt>
                <c:pt idx="88">
                  <c:v>35</c:v>
                </c:pt>
                <c:pt idx="89">
                  <c:v>33</c:v>
                </c:pt>
                <c:pt idx="90">
                  <c:v>33</c:v>
                </c:pt>
                <c:pt idx="91">
                  <c:v>37</c:v>
                </c:pt>
                <c:pt idx="92">
                  <c:v>34</c:v>
                </c:pt>
                <c:pt idx="93">
                  <c:v>34</c:v>
                </c:pt>
                <c:pt idx="94">
                  <c:v>28</c:v>
                </c:pt>
                <c:pt idx="95">
                  <c:v>38</c:v>
                </c:pt>
                <c:pt idx="96">
                  <c:v>38</c:v>
                </c:pt>
                <c:pt idx="97">
                  <c:v>33</c:v>
                </c:pt>
                <c:pt idx="98">
                  <c:v>40</c:v>
                </c:pt>
                <c:pt idx="99">
                  <c:v>65</c:v>
                </c:pt>
                <c:pt idx="100">
                  <c:v>201</c:v>
                </c:pt>
                <c:pt idx="101">
                  <c:v>178</c:v>
                </c:pt>
                <c:pt idx="102">
                  <c:v>73</c:v>
                </c:pt>
                <c:pt idx="103">
                  <c:v>49</c:v>
                </c:pt>
                <c:pt idx="104">
                  <c:v>44</c:v>
                </c:pt>
                <c:pt idx="105">
                  <c:v>40</c:v>
                </c:pt>
                <c:pt idx="106">
                  <c:v>33</c:v>
                </c:pt>
                <c:pt idx="107">
                  <c:v>35</c:v>
                </c:pt>
                <c:pt idx="108">
                  <c:v>36</c:v>
                </c:pt>
                <c:pt idx="109">
                  <c:v>39</c:v>
                </c:pt>
                <c:pt idx="110">
                  <c:v>38</c:v>
                </c:pt>
                <c:pt idx="111">
                  <c:v>40</c:v>
                </c:pt>
                <c:pt idx="112">
                  <c:v>66</c:v>
                </c:pt>
                <c:pt idx="113">
                  <c:v>123</c:v>
                </c:pt>
                <c:pt idx="114">
                  <c:v>329</c:v>
                </c:pt>
                <c:pt idx="115">
                  <c:v>847</c:v>
                </c:pt>
                <c:pt idx="116">
                  <c:v>366</c:v>
                </c:pt>
                <c:pt idx="117">
                  <c:v>106</c:v>
                </c:pt>
                <c:pt idx="118">
                  <c:v>52</c:v>
                </c:pt>
                <c:pt idx="119">
                  <c:v>43</c:v>
                </c:pt>
                <c:pt idx="120">
                  <c:v>39</c:v>
                </c:pt>
                <c:pt idx="121">
                  <c:v>35</c:v>
                </c:pt>
                <c:pt idx="122">
                  <c:v>39</c:v>
                </c:pt>
                <c:pt idx="123">
                  <c:v>33</c:v>
                </c:pt>
                <c:pt idx="124">
                  <c:v>31</c:v>
                </c:pt>
                <c:pt idx="125">
                  <c:v>29</c:v>
                </c:pt>
                <c:pt idx="126">
                  <c:v>29</c:v>
                </c:pt>
                <c:pt idx="127">
                  <c:v>34</c:v>
                </c:pt>
                <c:pt idx="128">
                  <c:v>31</c:v>
                </c:pt>
                <c:pt idx="129">
                  <c:v>32</c:v>
                </c:pt>
                <c:pt idx="130">
                  <c:v>25</c:v>
                </c:pt>
                <c:pt idx="131">
                  <c:v>26</c:v>
                </c:pt>
                <c:pt idx="132">
                  <c:v>27</c:v>
                </c:pt>
                <c:pt idx="133">
                  <c:v>34</c:v>
                </c:pt>
                <c:pt idx="134">
                  <c:v>28</c:v>
                </c:pt>
                <c:pt idx="135">
                  <c:v>25</c:v>
                </c:pt>
                <c:pt idx="136">
                  <c:v>29</c:v>
                </c:pt>
                <c:pt idx="137">
                  <c:v>33</c:v>
                </c:pt>
                <c:pt idx="138">
                  <c:v>27</c:v>
                </c:pt>
                <c:pt idx="139">
                  <c:v>30</c:v>
                </c:pt>
                <c:pt idx="140">
                  <c:v>30</c:v>
                </c:pt>
                <c:pt idx="141">
                  <c:v>27</c:v>
                </c:pt>
                <c:pt idx="142">
                  <c:v>27</c:v>
                </c:pt>
                <c:pt idx="143">
                  <c:v>27</c:v>
                </c:pt>
                <c:pt idx="144">
                  <c:v>28</c:v>
                </c:pt>
                <c:pt idx="145">
                  <c:v>36</c:v>
                </c:pt>
                <c:pt idx="146">
                  <c:v>29</c:v>
                </c:pt>
                <c:pt idx="147">
                  <c:v>24</c:v>
                </c:pt>
                <c:pt idx="148">
                  <c:v>29</c:v>
                </c:pt>
                <c:pt idx="149">
                  <c:v>28</c:v>
                </c:pt>
                <c:pt idx="150">
                  <c:v>24</c:v>
                </c:pt>
                <c:pt idx="151">
                  <c:v>28</c:v>
                </c:pt>
                <c:pt idx="152">
                  <c:v>29</c:v>
                </c:pt>
                <c:pt idx="153">
                  <c:v>26</c:v>
                </c:pt>
                <c:pt idx="154">
                  <c:v>31</c:v>
                </c:pt>
                <c:pt idx="155">
                  <c:v>27</c:v>
                </c:pt>
                <c:pt idx="156">
                  <c:v>26</c:v>
                </c:pt>
                <c:pt idx="157">
                  <c:v>27</c:v>
                </c:pt>
                <c:pt idx="158">
                  <c:v>24</c:v>
                </c:pt>
                <c:pt idx="159">
                  <c:v>27</c:v>
                </c:pt>
                <c:pt idx="160">
                  <c:v>24</c:v>
                </c:pt>
                <c:pt idx="161">
                  <c:v>26</c:v>
                </c:pt>
                <c:pt idx="162">
                  <c:v>26</c:v>
                </c:pt>
                <c:pt idx="163">
                  <c:v>24</c:v>
                </c:pt>
                <c:pt idx="164">
                  <c:v>23</c:v>
                </c:pt>
                <c:pt idx="165">
                  <c:v>25</c:v>
                </c:pt>
                <c:pt idx="166">
                  <c:v>24</c:v>
                </c:pt>
                <c:pt idx="167">
                  <c:v>28</c:v>
                </c:pt>
                <c:pt idx="168">
                  <c:v>29</c:v>
                </c:pt>
                <c:pt idx="169">
                  <c:v>30</c:v>
                </c:pt>
                <c:pt idx="170">
                  <c:v>34</c:v>
                </c:pt>
                <c:pt idx="171">
                  <c:v>54</c:v>
                </c:pt>
                <c:pt idx="172">
                  <c:v>76</c:v>
                </c:pt>
                <c:pt idx="173">
                  <c:v>39</c:v>
                </c:pt>
                <c:pt idx="174">
                  <c:v>31</c:v>
                </c:pt>
                <c:pt idx="175">
                  <c:v>32</c:v>
                </c:pt>
                <c:pt idx="176">
                  <c:v>30</c:v>
                </c:pt>
                <c:pt idx="177">
                  <c:v>30</c:v>
                </c:pt>
                <c:pt idx="178">
                  <c:v>25</c:v>
                </c:pt>
                <c:pt idx="179">
                  <c:v>33</c:v>
                </c:pt>
                <c:pt idx="180">
                  <c:v>23</c:v>
                </c:pt>
                <c:pt idx="181">
                  <c:v>23</c:v>
                </c:pt>
                <c:pt idx="182">
                  <c:v>25</c:v>
                </c:pt>
                <c:pt idx="183">
                  <c:v>24</c:v>
                </c:pt>
                <c:pt idx="184">
                  <c:v>33</c:v>
                </c:pt>
                <c:pt idx="185">
                  <c:v>30</c:v>
                </c:pt>
                <c:pt idx="186">
                  <c:v>29</c:v>
                </c:pt>
                <c:pt idx="187">
                  <c:v>32</c:v>
                </c:pt>
                <c:pt idx="188">
                  <c:v>33</c:v>
                </c:pt>
                <c:pt idx="189">
                  <c:v>26</c:v>
                </c:pt>
                <c:pt idx="190">
                  <c:v>23</c:v>
                </c:pt>
                <c:pt idx="191">
                  <c:v>30</c:v>
                </c:pt>
                <c:pt idx="192">
                  <c:v>28</c:v>
                </c:pt>
                <c:pt idx="193">
                  <c:v>25</c:v>
                </c:pt>
                <c:pt idx="194">
                  <c:v>37</c:v>
                </c:pt>
                <c:pt idx="195">
                  <c:v>46</c:v>
                </c:pt>
                <c:pt idx="196">
                  <c:v>67</c:v>
                </c:pt>
                <c:pt idx="197">
                  <c:v>159</c:v>
                </c:pt>
                <c:pt idx="198">
                  <c:v>250</c:v>
                </c:pt>
                <c:pt idx="199">
                  <c:v>85</c:v>
                </c:pt>
                <c:pt idx="200">
                  <c:v>35</c:v>
                </c:pt>
                <c:pt idx="201">
                  <c:v>25</c:v>
                </c:pt>
                <c:pt idx="202">
                  <c:v>30</c:v>
                </c:pt>
                <c:pt idx="203">
                  <c:v>27</c:v>
                </c:pt>
                <c:pt idx="204">
                  <c:v>27</c:v>
                </c:pt>
                <c:pt idx="205">
                  <c:v>25</c:v>
                </c:pt>
                <c:pt idx="206">
                  <c:v>25</c:v>
                </c:pt>
                <c:pt idx="207">
                  <c:v>26</c:v>
                </c:pt>
                <c:pt idx="208">
                  <c:v>31</c:v>
                </c:pt>
                <c:pt idx="209">
                  <c:v>25</c:v>
                </c:pt>
                <c:pt idx="210">
                  <c:v>28</c:v>
                </c:pt>
                <c:pt idx="211">
                  <c:v>24</c:v>
                </c:pt>
                <c:pt idx="212">
                  <c:v>24</c:v>
                </c:pt>
                <c:pt idx="213">
                  <c:v>29</c:v>
                </c:pt>
                <c:pt idx="214">
                  <c:v>20</c:v>
                </c:pt>
                <c:pt idx="215">
                  <c:v>26</c:v>
                </c:pt>
                <c:pt idx="216">
                  <c:v>25</c:v>
                </c:pt>
                <c:pt idx="217">
                  <c:v>23</c:v>
                </c:pt>
                <c:pt idx="218">
                  <c:v>27</c:v>
                </c:pt>
                <c:pt idx="219">
                  <c:v>27</c:v>
                </c:pt>
                <c:pt idx="220">
                  <c:v>27</c:v>
                </c:pt>
                <c:pt idx="221">
                  <c:v>21</c:v>
                </c:pt>
                <c:pt idx="222">
                  <c:v>24</c:v>
                </c:pt>
                <c:pt idx="223">
                  <c:v>25</c:v>
                </c:pt>
                <c:pt idx="224">
                  <c:v>24</c:v>
                </c:pt>
                <c:pt idx="225">
                  <c:v>26</c:v>
                </c:pt>
                <c:pt idx="226">
                  <c:v>23</c:v>
                </c:pt>
                <c:pt idx="227">
                  <c:v>20</c:v>
                </c:pt>
                <c:pt idx="228">
                  <c:v>23</c:v>
                </c:pt>
                <c:pt idx="229">
                  <c:v>20</c:v>
                </c:pt>
                <c:pt idx="230">
                  <c:v>25</c:v>
                </c:pt>
                <c:pt idx="231">
                  <c:v>23</c:v>
                </c:pt>
                <c:pt idx="232">
                  <c:v>25</c:v>
                </c:pt>
                <c:pt idx="233">
                  <c:v>22</c:v>
                </c:pt>
                <c:pt idx="234">
                  <c:v>24</c:v>
                </c:pt>
                <c:pt idx="235">
                  <c:v>24</c:v>
                </c:pt>
                <c:pt idx="236">
                  <c:v>27</c:v>
                </c:pt>
                <c:pt idx="237">
                  <c:v>20</c:v>
                </c:pt>
                <c:pt idx="238">
                  <c:v>24</c:v>
                </c:pt>
                <c:pt idx="239">
                  <c:v>25</c:v>
                </c:pt>
                <c:pt idx="240">
                  <c:v>24</c:v>
                </c:pt>
                <c:pt idx="241">
                  <c:v>25</c:v>
                </c:pt>
                <c:pt idx="242">
                  <c:v>25</c:v>
                </c:pt>
                <c:pt idx="243">
                  <c:v>25</c:v>
                </c:pt>
                <c:pt idx="244">
                  <c:v>26</c:v>
                </c:pt>
                <c:pt idx="245">
                  <c:v>26</c:v>
                </c:pt>
                <c:pt idx="246">
                  <c:v>22</c:v>
                </c:pt>
                <c:pt idx="247">
                  <c:v>25</c:v>
                </c:pt>
                <c:pt idx="248">
                  <c:v>21</c:v>
                </c:pt>
                <c:pt idx="249">
                  <c:v>28</c:v>
                </c:pt>
                <c:pt idx="250">
                  <c:v>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14-4B10-8505-C0C66C0765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4036448"/>
        <c:axId val="1994039328"/>
      </c:scatterChart>
      <c:valAx>
        <c:axId val="1994036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Detector</a:t>
                </a:r>
                <a:r>
                  <a:rPr lang="en-IN" baseline="0"/>
                  <a:t> Angle (in degree)</a:t>
                </a: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4039328"/>
        <c:crosses val="autoZero"/>
        <c:crossBetween val="midCat"/>
      </c:valAx>
      <c:valAx>
        <c:axId val="1994039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 Impulse/s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4036448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197643</xdr:colOff>
      <xdr:row>236</xdr:row>
      <xdr:rowOff>128587</xdr:rowOff>
    </xdr:from>
    <xdr:to>
      <xdr:col>11</xdr:col>
      <xdr:colOff>235743</xdr:colOff>
      <xdr:row>251</xdr:row>
      <xdr:rowOff>157162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4"/>
  <sheetViews>
    <sheetView zoomScale="92" workbookViewId="0">
      <pane ySplit="2" topLeftCell="A232" activePane="bottomLeft" state="frozen"/>
      <selection pane="bottomLeft" activeCell="N241" sqref="N241"/>
    </sheetView>
  </sheetViews>
  <sheetFormatPr defaultRowHeight="14.25" x14ac:dyDescent="0.45"/>
  <cols>
    <col min="1" max="1" width="18" customWidth="1"/>
    <col min="2" max="2" width="22" customWidth="1"/>
  </cols>
  <sheetData>
    <row r="1" spans="1:2" ht="30" customHeight="1" x14ac:dyDescent="0.45">
      <c r="A1" s="13" t="s">
        <v>0</v>
      </c>
      <c r="B1" s="14"/>
    </row>
    <row r="2" spans="1:2" x14ac:dyDescent="0.45">
      <c r="A2" s="1" t="s">
        <v>1</v>
      </c>
      <c r="B2" s="1" t="s">
        <v>2</v>
      </c>
    </row>
    <row r="3" spans="1:2" x14ac:dyDescent="0.45">
      <c r="A3" s="2" t="s">
        <v>3</v>
      </c>
      <c r="B3" s="2" t="s">
        <v>4</v>
      </c>
    </row>
    <row r="4" spans="1:2" x14ac:dyDescent="0.45">
      <c r="A4" s="2">
        <v>10</v>
      </c>
      <c r="B4" s="2">
        <v>95</v>
      </c>
    </row>
    <row r="5" spans="1:2" x14ac:dyDescent="0.45">
      <c r="A5" s="2">
        <v>10.3</v>
      </c>
      <c r="B5" s="2">
        <v>88</v>
      </c>
    </row>
    <row r="6" spans="1:2" x14ac:dyDescent="0.45">
      <c r="A6" s="2">
        <v>10.8</v>
      </c>
      <c r="B6" s="2">
        <v>95</v>
      </c>
    </row>
    <row r="7" spans="1:2" x14ac:dyDescent="0.45">
      <c r="A7" s="2">
        <v>11.2</v>
      </c>
      <c r="B7" s="2">
        <v>88</v>
      </c>
    </row>
    <row r="8" spans="1:2" x14ac:dyDescent="0.45">
      <c r="A8" s="2">
        <v>11.6</v>
      </c>
      <c r="B8" s="2">
        <v>95</v>
      </c>
    </row>
    <row r="9" spans="1:2" x14ac:dyDescent="0.45">
      <c r="A9" s="2">
        <v>12</v>
      </c>
      <c r="B9" s="2">
        <v>86</v>
      </c>
    </row>
    <row r="10" spans="1:2" x14ac:dyDescent="0.45">
      <c r="A10" s="2">
        <v>12.4</v>
      </c>
      <c r="B10" s="2">
        <v>90</v>
      </c>
    </row>
    <row r="11" spans="1:2" x14ac:dyDescent="0.45">
      <c r="A11" s="2">
        <v>12.8</v>
      </c>
      <c r="B11" s="2">
        <v>82</v>
      </c>
    </row>
    <row r="12" spans="1:2" x14ac:dyDescent="0.45">
      <c r="A12" s="2">
        <v>13.2</v>
      </c>
      <c r="B12" s="2">
        <v>90</v>
      </c>
    </row>
    <row r="13" spans="1:2" x14ac:dyDescent="0.45">
      <c r="A13" s="2">
        <v>13.6</v>
      </c>
      <c r="B13" s="2">
        <v>74</v>
      </c>
    </row>
    <row r="14" spans="1:2" x14ac:dyDescent="0.45">
      <c r="A14" s="2">
        <v>14</v>
      </c>
      <c r="B14" s="2">
        <v>91</v>
      </c>
    </row>
    <row r="15" spans="1:2" x14ac:dyDescent="0.45">
      <c r="A15" s="2">
        <v>14.4</v>
      </c>
      <c r="B15" s="2">
        <v>92</v>
      </c>
    </row>
    <row r="16" spans="1:2" x14ac:dyDescent="0.45">
      <c r="A16" s="2">
        <v>14.8</v>
      </c>
      <c r="B16" s="2">
        <v>85</v>
      </c>
    </row>
    <row r="17" spans="1:2" x14ac:dyDescent="0.45">
      <c r="A17" s="2">
        <v>15.2</v>
      </c>
      <c r="B17" s="2">
        <v>84</v>
      </c>
    </row>
    <row r="18" spans="1:2" x14ac:dyDescent="0.45">
      <c r="A18" s="2">
        <v>15.6</v>
      </c>
      <c r="B18" s="2">
        <v>79</v>
      </c>
    </row>
    <row r="19" spans="1:2" x14ac:dyDescent="0.45">
      <c r="A19" s="2">
        <v>16</v>
      </c>
      <c r="B19" s="2">
        <v>75</v>
      </c>
    </row>
    <row r="20" spans="1:2" x14ac:dyDescent="0.45">
      <c r="A20" s="2">
        <v>16.399999999999999</v>
      </c>
      <c r="B20" s="2">
        <v>84</v>
      </c>
    </row>
    <row r="21" spans="1:2" x14ac:dyDescent="0.45">
      <c r="A21" s="2">
        <v>16.7</v>
      </c>
      <c r="B21" s="2">
        <v>127</v>
      </c>
    </row>
    <row r="22" spans="1:2" x14ac:dyDescent="0.45">
      <c r="A22" s="2">
        <v>17.2</v>
      </c>
      <c r="B22" s="2">
        <v>147</v>
      </c>
    </row>
    <row r="23" spans="1:2" x14ac:dyDescent="0.45">
      <c r="A23" s="2">
        <v>17.600000000000001</v>
      </c>
      <c r="B23" s="2">
        <v>146</v>
      </c>
    </row>
    <row r="24" spans="1:2" x14ac:dyDescent="0.45">
      <c r="A24" s="2">
        <v>18</v>
      </c>
      <c r="B24" s="2">
        <v>136</v>
      </c>
    </row>
    <row r="25" spans="1:2" x14ac:dyDescent="0.45">
      <c r="A25" s="2">
        <v>18.399999999999999</v>
      </c>
      <c r="B25" s="2">
        <v>128</v>
      </c>
    </row>
    <row r="26" spans="1:2" x14ac:dyDescent="0.45">
      <c r="A26" s="2">
        <v>18.7</v>
      </c>
      <c r="B26" s="2">
        <v>126</v>
      </c>
    </row>
    <row r="27" spans="1:2" x14ac:dyDescent="0.45">
      <c r="A27" s="2">
        <v>19.2</v>
      </c>
      <c r="B27" s="2">
        <v>134</v>
      </c>
    </row>
    <row r="28" spans="1:2" x14ac:dyDescent="0.45">
      <c r="A28" s="2">
        <v>19.600000000000001</v>
      </c>
      <c r="B28" s="2">
        <v>122</v>
      </c>
    </row>
    <row r="29" spans="1:2" x14ac:dyDescent="0.45">
      <c r="A29" s="2">
        <v>20</v>
      </c>
      <c r="B29" s="2">
        <v>111</v>
      </c>
    </row>
    <row r="30" spans="1:2" x14ac:dyDescent="0.45">
      <c r="A30" s="2">
        <v>20.399999999999999</v>
      </c>
      <c r="B30" s="2">
        <v>109</v>
      </c>
    </row>
    <row r="31" spans="1:2" x14ac:dyDescent="0.45">
      <c r="A31" s="2">
        <v>20.7</v>
      </c>
      <c r="B31" s="2">
        <v>103</v>
      </c>
    </row>
    <row r="32" spans="1:2" x14ac:dyDescent="0.45">
      <c r="A32" s="2">
        <v>21.2</v>
      </c>
      <c r="B32" s="2">
        <v>94</v>
      </c>
    </row>
    <row r="33" spans="1:2" x14ac:dyDescent="0.45">
      <c r="A33" s="2">
        <v>21.6</v>
      </c>
      <c r="B33" s="2">
        <v>94</v>
      </c>
    </row>
    <row r="34" spans="1:2" x14ac:dyDescent="0.45">
      <c r="A34" s="2">
        <v>22</v>
      </c>
      <c r="B34" s="2">
        <v>91</v>
      </c>
    </row>
    <row r="35" spans="1:2" x14ac:dyDescent="0.45">
      <c r="A35" s="2">
        <v>22.4</v>
      </c>
      <c r="B35" s="2">
        <v>91</v>
      </c>
    </row>
    <row r="36" spans="1:2" x14ac:dyDescent="0.45">
      <c r="A36" s="2">
        <v>22.7</v>
      </c>
      <c r="B36" s="2">
        <v>83</v>
      </c>
    </row>
    <row r="37" spans="1:2" x14ac:dyDescent="0.45">
      <c r="A37" s="2">
        <v>23.2</v>
      </c>
      <c r="B37" s="2">
        <v>87</v>
      </c>
    </row>
    <row r="38" spans="1:2" x14ac:dyDescent="0.45">
      <c r="A38" s="2">
        <v>23.6</v>
      </c>
      <c r="B38" s="2">
        <v>80</v>
      </c>
    </row>
    <row r="39" spans="1:2" x14ac:dyDescent="0.45">
      <c r="A39" s="2">
        <v>24</v>
      </c>
      <c r="B39" s="2">
        <v>85</v>
      </c>
    </row>
    <row r="40" spans="1:2" x14ac:dyDescent="0.45">
      <c r="A40" s="2">
        <v>24.4</v>
      </c>
      <c r="B40" s="2">
        <v>139</v>
      </c>
    </row>
    <row r="41" spans="1:2" x14ac:dyDescent="0.45">
      <c r="A41" s="2">
        <v>24.8</v>
      </c>
      <c r="B41" s="2">
        <v>581</v>
      </c>
    </row>
    <row r="42" spans="1:2" x14ac:dyDescent="0.45">
      <c r="A42" s="2">
        <v>25.2</v>
      </c>
      <c r="B42" s="2">
        <v>606</v>
      </c>
    </row>
    <row r="43" spans="1:2" x14ac:dyDescent="0.45">
      <c r="A43" s="2">
        <v>25.6</v>
      </c>
      <c r="B43" s="2">
        <v>230</v>
      </c>
    </row>
    <row r="44" spans="1:2" x14ac:dyDescent="0.45">
      <c r="A44" s="2">
        <v>26</v>
      </c>
      <c r="B44" s="2">
        <v>103</v>
      </c>
    </row>
    <row r="45" spans="1:2" x14ac:dyDescent="0.45">
      <c r="A45" s="2">
        <v>26.4</v>
      </c>
      <c r="B45" s="2">
        <v>116</v>
      </c>
    </row>
    <row r="46" spans="1:2" x14ac:dyDescent="0.45">
      <c r="A46" s="2">
        <v>26.8</v>
      </c>
      <c r="B46" s="2">
        <v>238</v>
      </c>
    </row>
    <row r="47" spans="1:2" x14ac:dyDescent="0.45">
      <c r="A47" s="2">
        <v>27.2</v>
      </c>
      <c r="B47" s="2">
        <v>796</v>
      </c>
    </row>
    <row r="48" spans="1:2" x14ac:dyDescent="0.45">
      <c r="A48" s="2">
        <v>27.6</v>
      </c>
      <c r="B48" s="2">
        <v>2523</v>
      </c>
    </row>
    <row r="49" spans="1:2" x14ac:dyDescent="0.45">
      <c r="A49" s="2">
        <v>28</v>
      </c>
      <c r="B49" s="2">
        <v>1360</v>
      </c>
    </row>
    <row r="50" spans="1:2" x14ac:dyDescent="0.45">
      <c r="A50" s="2">
        <v>28.4</v>
      </c>
      <c r="B50" s="2">
        <v>315</v>
      </c>
    </row>
    <row r="51" spans="1:2" x14ac:dyDescent="0.45">
      <c r="A51" s="2">
        <v>28.8</v>
      </c>
      <c r="B51" s="2">
        <v>87</v>
      </c>
    </row>
    <row r="52" spans="1:2" x14ac:dyDescent="0.45">
      <c r="A52" s="2">
        <v>29.2</v>
      </c>
      <c r="B52" s="2">
        <v>71</v>
      </c>
    </row>
    <row r="53" spans="1:2" x14ac:dyDescent="0.45">
      <c r="A53" s="2">
        <v>29.6</v>
      </c>
      <c r="B53" s="2">
        <v>62</v>
      </c>
    </row>
    <row r="54" spans="1:2" x14ac:dyDescent="0.45">
      <c r="A54" s="2">
        <v>30</v>
      </c>
      <c r="B54" s="2">
        <v>55</v>
      </c>
    </row>
    <row r="55" spans="1:2" x14ac:dyDescent="0.45">
      <c r="A55" s="2">
        <v>30.4</v>
      </c>
      <c r="B55" s="2">
        <v>53</v>
      </c>
    </row>
    <row r="56" spans="1:2" x14ac:dyDescent="0.45">
      <c r="A56" s="2">
        <v>30.8</v>
      </c>
      <c r="B56" s="2">
        <v>61</v>
      </c>
    </row>
    <row r="57" spans="1:2" x14ac:dyDescent="0.45">
      <c r="A57" s="2">
        <v>31.2</v>
      </c>
      <c r="B57" s="2">
        <v>46</v>
      </c>
    </row>
    <row r="58" spans="1:2" x14ac:dyDescent="0.45">
      <c r="A58" s="2">
        <v>31.6</v>
      </c>
      <c r="B58" s="2">
        <v>48</v>
      </c>
    </row>
    <row r="59" spans="1:2" x14ac:dyDescent="0.45">
      <c r="A59" s="2">
        <v>32</v>
      </c>
      <c r="B59" s="2">
        <v>51</v>
      </c>
    </row>
    <row r="60" spans="1:2" x14ac:dyDescent="0.45">
      <c r="A60" s="2">
        <v>32.4</v>
      </c>
      <c r="B60" s="2">
        <v>49</v>
      </c>
    </row>
    <row r="61" spans="1:2" x14ac:dyDescent="0.45">
      <c r="A61" s="2">
        <v>32.799999999999997</v>
      </c>
      <c r="B61" s="2">
        <v>48</v>
      </c>
    </row>
    <row r="62" spans="1:2" x14ac:dyDescent="0.45">
      <c r="A62" s="2">
        <v>33.200000000000003</v>
      </c>
      <c r="B62" s="2">
        <v>57</v>
      </c>
    </row>
    <row r="63" spans="1:2" x14ac:dyDescent="0.45">
      <c r="A63" s="2">
        <v>33.5</v>
      </c>
      <c r="B63" s="2">
        <v>52</v>
      </c>
    </row>
    <row r="64" spans="1:2" x14ac:dyDescent="0.45">
      <c r="A64" s="2">
        <v>34</v>
      </c>
      <c r="B64" s="2">
        <v>49</v>
      </c>
    </row>
    <row r="65" spans="1:2" x14ac:dyDescent="0.45">
      <c r="A65" s="2">
        <v>34.4</v>
      </c>
      <c r="B65" s="2">
        <v>49</v>
      </c>
    </row>
    <row r="66" spans="1:2" x14ac:dyDescent="0.45">
      <c r="A66" s="2">
        <v>34.799999999999997</v>
      </c>
      <c r="B66" s="2">
        <v>51</v>
      </c>
    </row>
    <row r="67" spans="1:2" x14ac:dyDescent="0.45">
      <c r="A67" s="2">
        <v>35.200000000000003</v>
      </c>
      <c r="B67" s="2">
        <v>49</v>
      </c>
    </row>
    <row r="68" spans="1:2" x14ac:dyDescent="0.45">
      <c r="A68" s="2">
        <v>35.5</v>
      </c>
      <c r="B68" s="2">
        <v>53</v>
      </c>
    </row>
    <row r="69" spans="1:2" x14ac:dyDescent="0.45">
      <c r="A69" s="2">
        <v>36</v>
      </c>
      <c r="B69" s="2">
        <v>47</v>
      </c>
    </row>
    <row r="70" spans="1:2" x14ac:dyDescent="0.45">
      <c r="A70" s="2">
        <v>36.4</v>
      </c>
      <c r="B70" s="2">
        <v>46</v>
      </c>
    </row>
    <row r="71" spans="1:2" x14ac:dyDescent="0.45">
      <c r="A71" s="2">
        <v>36.799999999999997</v>
      </c>
      <c r="B71" s="2">
        <v>40</v>
      </c>
    </row>
    <row r="72" spans="1:2" x14ac:dyDescent="0.45">
      <c r="A72" s="2">
        <v>37.200000000000003</v>
      </c>
      <c r="B72" s="2">
        <v>42</v>
      </c>
    </row>
    <row r="73" spans="1:2" x14ac:dyDescent="0.45">
      <c r="A73" s="2">
        <v>37.5</v>
      </c>
      <c r="B73" s="2">
        <v>47</v>
      </c>
    </row>
    <row r="74" spans="1:2" x14ac:dyDescent="0.45">
      <c r="A74" s="2">
        <v>38</v>
      </c>
      <c r="B74" s="2">
        <v>44</v>
      </c>
    </row>
    <row r="75" spans="1:2" x14ac:dyDescent="0.45">
      <c r="A75" s="2">
        <v>38.4</v>
      </c>
      <c r="B75" s="2">
        <v>43</v>
      </c>
    </row>
    <row r="76" spans="1:2" x14ac:dyDescent="0.45">
      <c r="A76" s="2">
        <v>38.799999999999997</v>
      </c>
      <c r="B76" s="2">
        <v>41</v>
      </c>
    </row>
    <row r="77" spans="1:2" x14ac:dyDescent="0.45">
      <c r="A77" s="2">
        <v>39.200000000000003</v>
      </c>
      <c r="B77" s="2">
        <v>42</v>
      </c>
    </row>
    <row r="78" spans="1:2" x14ac:dyDescent="0.45">
      <c r="A78" s="2">
        <v>39.5</v>
      </c>
      <c r="B78" s="2">
        <v>45</v>
      </c>
    </row>
    <row r="79" spans="1:2" x14ac:dyDescent="0.45">
      <c r="A79" s="2">
        <v>40</v>
      </c>
      <c r="B79" s="2">
        <v>37</v>
      </c>
    </row>
    <row r="80" spans="1:2" x14ac:dyDescent="0.45">
      <c r="A80" s="2">
        <v>40.4</v>
      </c>
      <c r="B80" s="2">
        <v>36</v>
      </c>
    </row>
    <row r="81" spans="1:2" x14ac:dyDescent="0.45">
      <c r="A81" s="2">
        <v>40.799999999999997</v>
      </c>
      <c r="B81" s="2">
        <v>36</v>
      </c>
    </row>
    <row r="82" spans="1:2" x14ac:dyDescent="0.45">
      <c r="A82" s="2">
        <v>41.2</v>
      </c>
      <c r="B82" s="2">
        <v>39</v>
      </c>
    </row>
    <row r="83" spans="1:2" x14ac:dyDescent="0.45">
      <c r="A83" s="2">
        <v>41.5</v>
      </c>
      <c r="B83" s="2">
        <v>41</v>
      </c>
    </row>
    <row r="84" spans="1:2" x14ac:dyDescent="0.45">
      <c r="A84" s="2">
        <v>42</v>
      </c>
      <c r="B84" s="2">
        <v>33</v>
      </c>
    </row>
    <row r="85" spans="1:2" x14ac:dyDescent="0.45">
      <c r="A85" s="2">
        <v>42.4</v>
      </c>
      <c r="B85" s="2">
        <v>40</v>
      </c>
    </row>
    <row r="86" spans="1:2" x14ac:dyDescent="0.45">
      <c r="A86" s="2">
        <v>42.8</v>
      </c>
      <c r="B86" s="2">
        <v>37</v>
      </c>
    </row>
    <row r="87" spans="1:2" x14ac:dyDescent="0.45">
      <c r="A87" s="2">
        <v>43.2</v>
      </c>
      <c r="B87" s="2">
        <v>34</v>
      </c>
    </row>
    <row r="88" spans="1:2" x14ac:dyDescent="0.45">
      <c r="A88" s="2">
        <v>43.5</v>
      </c>
      <c r="B88" s="2">
        <v>35</v>
      </c>
    </row>
    <row r="89" spans="1:2" x14ac:dyDescent="0.45">
      <c r="A89" s="2">
        <v>44</v>
      </c>
      <c r="B89" s="2">
        <v>33</v>
      </c>
    </row>
    <row r="90" spans="1:2" x14ac:dyDescent="0.45">
      <c r="A90" s="2">
        <v>44.4</v>
      </c>
      <c r="B90" s="2">
        <v>39</v>
      </c>
    </row>
    <row r="91" spans="1:2" x14ac:dyDescent="0.45">
      <c r="A91" s="2">
        <v>44.8</v>
      </c>
      <c r="B91" s="2">
        <v>32</v>
      </c>
    </row>
    <row r="92" spans="1:2" x14ac:dyDescent="0.45">
      <c r="A92" s="2">
        <v>45.2</v>
      </c>
      <c r="B92" s="2">
        <v>35</v>
      </c>
    </row>
    <row r="93" spans="1:2" x14ac:dyDescent="0.45">
      <c r="A93" s="2">
        <v>45.5</v>
      </c>
      <c r="B93" s="2">
        <v>33</v>
      </c>
    </row>
    <row r="94" spans="1:2" x14ac:dyDescent="0.45">
      <c r="A94" s="2">
        <v>46</v>
      </c>
      <c r="B94" s="2">
        <v>33</v>
      </c>
    </row>
    <row r="95" spans="1:2" x14ac:dyDescent="0.45">
      <c r="A95" s="2">
        <v>46.4</v>
      </c>
      <c r="B95" s="2">
        <v>37</v>
      </c>
    </row>
    <row r="96" spans="1:2" x14ac:dyDescent="0.45">
      <c r="A96" s="2">
        <v>46.8</v>
      </c>
      <c r="B96" s="2">
        <v>34</v>
      </c>
    </row>
    <row r="97" spans="1:2" x14ac:dyDescent="0.45">
      <c r="A97" s="2">
        <v>47.2</v>
      </c>
      <c r="B97" s="2">
        <v>34</v>
      </c>
    </row>
    <row r="98" spans="1:2" x14ac:dyDescent="0.45">
      <c r="A98" s="2">
        <v>47.5</v>
      </c>
      <c r="B98" s="2">
        <v>28</v>
      </c>
    </row>
    <row r="99" spans="1:2" x14ac:dyDescent="0.45">
      <c r="A99" s="2">
        <v>48</v>
      </c>
      <c r="B99" s="2">
        <v>38</v>
      </c>
    </row>
    <row r="100" spans="1:2" x14ac:dyDescent="0.45">
      <c r="A100" s="2">
        <v>48.4</v>
      </c>
      <c r="B100" s="2">
        <v>38</v>
      </c>
    </row>
    <row r="101" spans="1:2" x14ac:dyDescent="0.45">
      <c r="A101" s="2">
        <v>48.8</v>
      </c>
      <c r="B101" s="2">
        <v>33</v>
      </c>
    </row>
    <row r="102" spans="1:2" x14ac:dyDescent="0.45">
      <c r="A102" s="2">
        <v>49.2</v>
      </c>
      <c r="B102" s="2">
        <v>40</v>
      </c>
    </row>
    <row r="103" spans="1:2" x14ac:dyDescent="0.45">
      <c r="A103" s="2">
        <v>49.6</v>
      </c>
      <c r="B103" s="2">
        <v>65</v>
      </c>
    </row>
    <row r="104" spans="1:2" x14ac:dyDescent="0.45">
      <c r="A104" s="2">
        <v>50</v>
      </c>
      <c r="B104" s="2">
        <v>201</v>
      </c>
    </row>
    <row r="105" spans="1:2" x14ac:dyDescent="0.45">
      <c r="A105" s="2">
        <v>50.4</v>
      </c>
      <c r="B105" s="2">
        <v>178</v>
      </c>
    </row>
    <row r="106" spans="1:2" x14ac:dyDescent="0.45">
      <c r="A106" s="2">
        <v>50.8</v>
      </c>
      <c r="B106" s="2">
        <v>73</v>
      </c>
    </row>
    <row r="107" spans="1:2" x14ac:dyDescent="0.45">
      <c r="A107" s="2">
        <v>51.2</v>
      </c>
      <c r="B107" s="2">
        <v>49</v>
      </c>
    </row>
    <row r="108" spans="1:2" x14ac:dyDescent="0.45">
      <c r="A108" s="2">
        <v>51.6</v>
      </c>
      <c r="B108" s="2">
        <v>44</v>
      </c>
    </row>
    <row r="109" spans="1:2" x14ac:dyDescent="0.45">
      <c r="A109" s="2">
        <v>52</v>
      </c>
      <c r="B109" s="2">
        <v>40</v>
      </c>
    </row>
    <row r="110" spans="1:2" x14ac:dyDescent="0.45">
      <c r="A110" s="2">
        <v>52.4</v>
      </c>
      <c r="B110" s="2">
        <v>33</v>
      </c>
    </row>
    <row r="111" spans="1:2" x14ac:dyDescent="0.45">
      <c r="A111" s="2">
        <v>52.8</v>
      </c>
      <c r="B111" s="2">
        <v>35</v>
      </c>
    </row>
    <row r="112" spans="1:2" x14ac:dyDescent="0.45">
      <c r="A112" s="2">
        <v>53.2</v>
      </c>
      <c r="B112" s="2">
        <v>36</v>
      </c>
    </row>
    <row r="113" spans="1:2" x14ac:dyDescent="0.45">
      <c r="A113" s="2">
        <v>53.6</v>
      </c>
      <c r="B113" s="2">
        <v>39</v>
      </c>
    </row>
    <row r="114" spans="1:2" x14ac:dyDescent="0.45">
      <c r="A114" s="2">
        <v>54</v>
      </c>
      <c r="B114" s="2">
        <v>38</v>
      </c>
    </row>
    <row r="115" spans="1:2" x14ac:dyDescent="0.45">
      <c r="A115" s="2">
        <v>54.4</v>
      </c>
      <c r="B115" s="2">
        <v>40</v>
      </c>
    </row>
    <row r="116" spans="1:2" x14ac:dyDescent="0.45">
      <c r="A116" s="2">
        <v>54.8</v>
      </c>
      <c r="B116" s="2">
        <v>66</v>
      </c>
    </row>
    <row r="117" spans="1:2" x14ac:dyDescent="0.45">
      <c r="A117" s="2">
        <v>55.2</v>
      </c>
      <c r="B117" s="2">
        <v>123</v>
      </c>
    </row>
    <row r="118" spans="1:2" x14ac:dyDescent="0.45">
      <c r="A118" s="2">
        <v>55.6</v>
      </c>
      <c r="B118" s="2">
        <v>329</v>
      </c>
    </row>
    <row r="119" spans="1:2" x14ac:dyDescent="0.45">
      <c r="A119" s="2">
        <v>56</v>
      </c>
      <c r="B119" s="2">
        <v>847</v>
      </c>
    </row>
    <row r="120" spans="1:2" x14ac:dyDescent="0.45">
      <c r="A120" s="2">
        <v>56.4</v>
      </c>
      <c r="B120" s="2">
        <v>366</v>
      </c>
    </row>
    <row r="121" spans="1:2" x14ac:dyDescent="0.45">
      <c r="A121" s="2">
        <v>56.8</v>
      </c>
      <c r="B121" s="2">
        <v>106</v>
      </c>
    </row>
    <row r="122" spans="1:2" x14ac:dyDescent="0.45">
      <c r="A122" s="2">
        <v>57.2</v>
      </c>
      <c r="B122" s="2">
        <v>52</v>
      </c>
    </row>
    <row r="123" spans="1:2" x14ac:dyDescent="0.45">
      <c r="A123" s="2">
        <v>57.6</v>
      </c>
      <c r="B123" s="2">
        <v>43</v>
      </c>
    </row>
    <row r="124" spans="1:2" x14ac:dyDescent="0.45">
      <c r="A124" s="2">
        <v>58</v>
      </c>
      <c r="B124" s="2">
        <v>39</v>
      </c>
    </row>
    <row r="125" spans="1:2" x14ac:dyDescent="0.45">
      <c r="A125" s="2">
        <v>58.4</v>
      </c>
      <c r="B125" s="2">
        <v>35</v>
      </c>
    </row>
    <row r="126" spans="1:2" x14ac:dyDescent="0.45">
      <c r="A126" s="2">
        <v>58.8</v>
      </c>
      <c r="B126" s="2">
        <v>39</v>
      </c>
    </row>
    <row r="127" spans="1:2" x14ac:dyDescent="0.45">
      <c r="A127" s="2">
        <v>59.2</v>
      </c>
      <c r="B127" s="2">
        <v>33</v>
      </c>
    </row>
    <row r="128" spans="1:2" x14ac:dyDescent="0.45">
      <c r="A128" s="2">
        <v>59.6</v>
      </c>
      <c r="B128" s="2">
        <v>31</v>
      </c>
    </row>
    <row r="129" spans="1:2" x14ac:dyDescent="0.45">
      <c r="A129" s="2">
        <v>60</v>
      </c>
      <c r="B129" s="2">
        <v>29</v>
      </c>
    </row>
    <row r="130" spans="1:2" x14ac:dyDescent="0.45">
      <c r="A130" s="2">
        <v>60.4</v>
      </c>
      <c r="B130" s="2">
        <v>29</v>
      </c>
    </row>
    <row r="131" spans="1:2" x14ac:dyDescent="0.45">
      <c r="A131" s="2">
        <v>60.8</v>
      </c>
      <c r="B131" s="2">
        <v>34</v>
      </c>
    </row>
    <row r="132" spans="1:2" x14ac:dyDescent="0.45">
      <c r="A132" s="2">
        <v>61.2</v>
      </c>
      <c r="B132" s="2">
        <v>31</v>
      </c>
    </row>
    <row r="133" spans="1:2" x14ac:dyDescent="0.45">
      <c r="A133" s="2">
        <v>61.6</v>
      </c>
      <c r="B133" s="2">
        <v>32</v>
      </c>
    </row>
    <row r="134" spans="1:2" x14ac:dyDescent="0.45">
      <c r="A134" s="2">
        <v>62</v>
      </c>
      <c r="B134" s="2">
        <v>25</v>
      </c>
    </row>
    <row r="135" spans="1:2" x14ac:dyDescent="0.45">
      <c r="A135" s="2">
        <v>62.4</v>
      </c>
      <c r="B135" s="2">
        <v>26</v>
      </c>
    </row>
    <row r="136" spans="1:2" x14ac:dyDescent="0.45">
      <c r="A136" s="2">
        <v>62.8</v>
      </c>
      <c r="B136" s="2">
        <v>27</v>
      </c>
    </row>
    <row r="137" spans="1:2" x14ac:dyDescent="0.45">
      <c r="A137" s="2">
        <v>63.2</v>
      </c>
      <c r="B137" s="2">
        <v>34</v>
      </c>
    </row>
    <row r="138" spans="1:2" x14ac:dyDescent="0.45">
      <c r="A138" s="2">
        <v>63.6</v>
      </c>
      <c r="B138" s="2">
        <v>28</v>
      </c>
    </row>
    <row r="139" spans="1:2" x14ac:dyDescent="0.45">
      <c r="A139" s="2">
        <v>64</v>
      </c>
      <c r="B139" s="2">
        <v>25</v>
      </c>
    </row>
    <row r="140" spans="1:2" x14ac:dyDescent="0.45">
      <c r="A140" s="2">
        <v>64.400000000000006</v>
      </c>
      <c r="B140" s="2">
        <v>29</v>
      </c>
    </row>
    <row r="141" spans="1:2" x14ac:dyDescent="0.45">
      <c r="A141" s="2">
        <v>64.8</v>
      </c>
      <c r="B141" s="2">
        <v>33</v>
      </c>
    </row>
    <row r="142" spans="1:2" x14ac:dyDescent="0.45">
      <c r="A142" s="2">
        <v>65.099999999999994</v>
      </c>
      <c r="B142" s="2">
        <v>27</v>
      </c>
    </row>
    <row r="143" spans="1:2" x14ac:dyDescent="0.45">
      <c r="A143" s="2">
        <v>65.599999999999994</v>
      </c>
      <c r="B143" s="2">
        <v>30</v>
      </c>
    </row>
    <row r="144" spans="1:2" x14ac:dyDescent="0.45">
      <c r="A144" s="2">
        <v>66</v>
      </c>
      <c r="B144" s="2">
        <v>30</v>
      </c>
    </row>
    <row r="145" spans="1:2" x14ac:dyDescent="0.45">
      <c r="A145" s="2">
        <v>66.400000000000006</v>
      </c>
      <c r="B145" s="2">
        <v>27</v>
      </c>
    </row>
    <row r="146" spans="1:2" x14ac:dyDescent="0.45">
      <c r="A146" s="2">
        <v>66.8</v>
      </c>
      <c r="B146" s="2">
        <v>27</v>
      </c>
    </row>
    <row r="147" spans="1:2" x14ac:dyDescent="0.45">
      <c r="A147" s="2">
        <v>67.099999999999994</v>
      </c>
      <c r="B147" s="2">
        <v>27</v>
      </c>
    </row>
    <row r="148" spans="1:2" x14ac:dyDescent="0.45">
      <c r="A148" s="2">
        <v>67.599999999999994</v>
      </c>
      <c r="B148" s="2">
        <v>28</v>
      </c>
    </row>
    <row r="149" spans="1:2" x14ac:dyDescent="0.45">
      <c r="A149" s="2">
        <v>68</v>
      </c>
      <c r="B149" s="2">
        <v>36</v>
      </c>
    </row>
    <row r="150" spans="1:2" x14ac:dyDescent="0.45">
      <c r="A150" s="2">
        <v>68.400000000000006</v>
      </c>
      <c r="B150" s="2">
        <v>29</v>
      </c>
    </row>
    <row r="151" spans="1:2" x14ac:dyDescent="0.45">
      <c r="A151" s="2">
        <v>68.8</v>
      </c>
      <c r="B151" s="2">
        <v>24</v>
      </c>
    </row>
    <row r="152" spans="1:2" x14ac:dyDescent="0.45">
      <c r="A152" s="2">
        <v>69.099999999999994</v>
      </c>
      <c r="B152" s="2">
        <v>29</v>
      </c>
    </row>
    <row r="153" spans="1:2" x14ac:dyDescent="0.45">
      <c r="A153" s="2">
        <v>69.599999999999994</v>
      </c>
      <c r="B153" s="2">
        <v>28</v>
      </c>
    </row>
    <row r="154" spans="1:2" x14ac:dyDescent="0.45">
      <c r="A154" s="2">
        <v>70</v>
      </c>
      <c r="B154" s="2">
        <v>24</v>
      </c>
    </row>
    <row r="155" spans="1:2" x14ac:dyDescent="0.45">
      <c r="A155" s="2">
        <v>70.400000000000006</v>
      </c>
      <c r="B155" s="2">
        <v>28</v>
      </c>
    </row>
    <row r="156" spans="1:2" x14ac:dyDescent="0.45">
      <c r="A156" s="2">
        <v>70.8</v>
      </c>
      <c r="B156" s="2">
        <v>29</v>
      </c>
    </row>
    <row r="157" spans="1:2" x14ac:dyDescent="0.45">
      <c r="A157" s="2">
        <v>71.099999999999994</v>
      </c>
      <c r="B157" s="2">
        <v>26</v>
      </c>
    </row>
    <row r="158" spans="1:2" x14ac:dyDescent="0.45">
      <c r="A158" s="2">
        <v>71.599999999999994</v>
      </c>
      <c r="B158" s="2">
        <v>31</v>
      </c>
    </row>
    <row r="159" spans="1:2" x14ac:dyDescent="0.45">
      <c r="A159" s="2">
        <v>72</v>
      </c>
      <c r="B159" s="2">
        <v>27</v>
      </c>
    </row>
    <row r="160" spans="1:2" x14ac:dyDescent="0.45">
      <c r="A160" s="2">
        <v>72.400000000000006</v>
      </c>
      <c r="B160" s="2">
        <v>26</v>
      </c>
    </row>
    <row r="161" spans="1:2" x14ac:dyDescent="0.45">
      <c r="A161" s="2">
        <v>72.8</v>
      </c>
      <c r="B161" s="2">
        <v>27</v>
      </c>
    </row>
    <row r="162" spans="1:2" x14ac:dyDescent="0.45">
      <c r="A162" s="2">
        <v>73.099999999999994</v>
      </c>
      <c r="B162" s="2">
        <v>24</v>
      </c>
    </row>
    <row r="163" spans="1:2" x14ac:dyDescent="0.45">
      <c r="A163" s="2">
        <v>73.599999999999994</v>
      </c>
      <c r="B163" s="2">
        <v>27</v>
      </c>
    </row>
    <row r="164" spans="1:2" x14ac:dyDescent="0.45">
      <c r="A164" s="2">
        <v>74</v>
      </c>
      <c r="B164" s="2">
        <v>24</v>
      </c>
    </row>
    <row r="165" spans="1:2" x14ac:dyDescent="0.45">
      <c r="A165" s="2">
        <v>74.400000000000006</v>
      </c>
      <c r="B165" s="2">
        <v>26</v>
      </c>
    </row>
    <row r="166" spans="1:2" x14ac:dyDescent="0.45">
      <c r="A166" s="2">
        <v>74.8</v>
      </c>
      <c r="B166" s="2">
        <v>26</v>
      </c>
    </row>
    <row r="167" spans="1:2" x14ac:dyDescent="0.45">
      <c r="A167" s="2">
        <v>75.099999999999994</v>
      </c>
      <c r="B167" s="2">
        <v>24</v>
      </c>
    </row>
    <row r="168" spans="1:2" x14ac:dyDescent="0.45">
      <c r="A168" s="2">
        <v>75.599999999999994</v>
      </c>
      <c r="B168" s="2">
        <v>23</v>
      </c>
    </row>
    <row r="169" spans="1:2" x14ac:dyDescent="0.45">
      <c r="A169" s="2">
        <v>76</v>
      </c>
      <c r="B169" s="2">
        <v>25</v>
      </c>
    </row>
    <row r="170" spans="1:2" x14ac:dyDescent="0.45">
      <c r="A170" s="2">
        <v>76.400000000000006</v>
      </c>
      <c r="B170" s="2">
        <v>24</v>
      </c>
    </row>
    <row r="171" spans="1:2" x14ac:dyDescent="0.45">
      <c r="A171" s="2">
        <v>76.8</v>
      </c>
      <c r="B171" s="2">
        <v>28</v>
      </c>
    </row>
    <row r="172" spans="1:2" x14ac:dyDescent="0.45">
      <c r="A172" s="2">
        <v>77.099999999999994</v>
      </c>
      <c r="B172" s="2">
        <v>29</v>
      </c>
    </row>
    <row r="173" spans="1:2" x14ac:dyDescent="0.45">
      <c r="A173" s="2">
        <v>77.599999999999994</v>
      </c>
      <c r="B173" s="2">
        <v>30</v>
      </c>
    </row>
    <row r="174" spans="1:2" x14ac:dyDescent="0.45">
      <c r="A174" s="2">
        <v>78</v>
      </c>
      <c r="B174" s="2">
        <v>34</v>
      </c>
    </row>
    <row r="175" spans="1:2" x14ac:dyDescent="0.45">
      <c r="A175" s="2">
        <v>78.400000000000006</v>
      </c>
      <c r="B175" s="2">
        <v>54</v>
      </c>
    </row>
    <row r="176" spans="1:2" x14ac:dyDescent="0.45">
      <c r="A176" s="2">
        <v>78.8</v>
      </c>
      <c r="B176" s="2">
        <v>76</v>
      </c>
    </row>
    <row r="177" spans="1:2" x14ac:dyDescent="0.45">
      <c r="A177" s="2">
        <v>79.099999999999994</v>
      </c>
      <c r="B177" s="2">
        <v>39</v>
      </c>
    </row>
    <row r="178" spans="1:2" x14ac:dyDescent="0.45">
      <c r="A178" s="2">
        <v>79.599999999999994</v>
      </c>
      <c r="B178" s="2">
        <v>31</v>
      </c>
    </row>
    <row r="179" spans="1:2" x14ac:dyDescent="0.45">
      <c r="A179" s="2">
        <v>80</v>
      </c>
      <c r="B179" s="2">
        <v>32</v>
      </c>
    </row>
    <row r="180" spans="1:2" x14ac:dyDescent="0.45">
      <c r="A180" s="2">
        <v>80.400000000000006</v>
      </c>
      <c r="B180" s="2">
        <v>30</v>
      </c>
    </row>
    <row r="181" spans="1:2" x14ac:dyDescent="0.45">
      <c r="A181" s="2">
        <v>80.8</v>
      </c>
      <c r="B181" s="2">
        <v>30</v>
      </c>
    </row>
    <row r="182" spans="1:2" x14ac:dyDescent="0.45">
      <c r="A182" s="2">
        <v>81.099999999999994</v>
      </c>
      <c r="B182" s="2">
        <v>25</v>
      </c>
    </row>
    <row r="183" spans="1:2" x14ac:dyDescent="0.45">
      <c r="A183" s="2">
        <v>81.599999999999994</v>
      </c>
      <c r="B183" s="2">
        <v>33</v>
      </c>
    </row>
    <row r="184" spans="1:2" x14ac:dyDescent="0.45">
      <c r="A184" s="2">
        <v>82</v>
      </c>
      <c r="B184" s="2">
        <v>23</v>
      </c>
    </row>
    <row r="185" spans="1:2" x14ac:dyDescent="0.45">
      <c r="A185" s="2">
        <v>82.4</v>
      </c>
      <c r="B185" s="2">
        <v>23</v>
      </c>
    </row>
    <row r="186" spans="1:2" x14ac:dyDescent="0.45">
      <c r="A186" s="2">
        <v>82.8</v>
      </c>
      <c r="B186" s="2">
        <v>25</v>
      </c>
    </row>
    <row r="187" spans="1:2" x14ac:dyDescent="0.45">
      <c r="A187" s="2">
        <v>83.1</v>
      </c>
      <c r="B187" s="2">
        <v>24</v>
      </c>
    </row>
    <row r="188" spans="1:2" x14ac:dyDescent="0.45">
      <c r="A188" s="2">
        <v>83.6</v>
      </c>
      <c r="B188" s="2">
        <v>33</v>
      </c>
    </row>
    <row r="189" spans="1:2" x14ac:dyDescent="0.45">
      <c r="A189" s="2">
        <v>84</v>
      </c>
      <c r="B189" s="2">
        <v>30</v>
      </c>
    </row>
    <row r="190" spans="1:2" x14ac:dyDescent="0.45">
      <c r="A190" s="2">
        <v>84.4</v>
      </c>
      <c r="B190" s="2">
        <v>29</v>
      </c>
    </row>
    <row r="191" spans="1:2" x14ac:dyDescent="0.45">
      <c r="A191" s="2">
        <v>84.8</v>
      </c>
      <c r="B191" s="2">
        <v>32</v>
      </c>
    </row>
    <row r="192" spans="1:2" x14ac:dyDescent="0.45">
      <c r="A192" s="2">
        <v>85.1</v>
      </c>
      <c r="B192" s="2">
        <v>33</v>
      </c>
    </row>
    <row r="193" spans="1:2" x14ac:dyDescent="0.45">
      <c r="A193" s="2">
        <v>85.6</v>
      </c>
      <c r="B193" s="2">
        <v>26</v>
      </c>
    </row>
    <row r="194" spans="1:2" x14ac:dyDescent="0.45">
      <c r="A194" s="2">
        <v>86</v>
      </c>
      <c r="B194" s="2">
        <v>23</v>
      </c>
    </row>
    <row r="195" spans="1:2" x14ac:dyDescent="0.45">
      <c r="A195" s="2">
        <v>86.4</v>
      </c>
      <c r="B195" s="2">
        <v>30</v>
      </c>
    </row>
    <row r="196" spans="1:2" x14ac:dyDescent="0.45">
      <c r="A196" s="2">
        <v>86.8</v>
      </c>
      <c r="B196" s="2">
        <v>28</v>
      </c>
    </row>
    <row r="197" spans="1:2" x14ac:dyDescent="0.45">
      <c r="A197" s="2">
        <v>87.1</v>
      </c>
      <c r="B197" s="2">
        <v>25</v>
      </c>
    </row>
    <row r="198" spans="1:2" x14ac:dyDescent="0.45">
      <c r="A198" s="2">
        <v>87.6</v>
      </c>
      <c r="B198" s="2">
        <v>37</v>
      </c>
    </row>
    <row r="199" spans="1:2" x14ac:dyDescent="0.45">
      <c r="A199" s="2">
        <v>88</v>
      </c>
      <c r="B199" s="2">
        <v>46</v>
      </c>
    </row>
    <row r="200" spans="1:2" x14ac:dyDescent="0.45">
      <c r="A200" s="2">
        <v>88.4</v>
      </c>
      <c r="B200" s="2">
        <v>67</v>
      </c>
    </row>
    <row r="201" spans="1:2" x14ac:dyDescent="0.45">
      <c r="A201" s="2">
        <v>88.8</v>
      </c>
      <c r="B201" s="2">
        <v>159</v>
      </c>
    </row>
    <row r="202" spans="1:2" x14ac:dyDescent="0.45">
      <c r="A202" s="2">
        <v>89.1</v>
      </c>
      <c r="B202" s="2">
        <v>250</v>
      </c>
    </row>
    <row r="203" spans="1:2" x14ac:dyDescent="0.45">
      <c r="A203" s="2">
        <v>89.6</v>
      </c>
      <c r="B203" s="2">
        <v>85</v>
      </c>
    </row>
    <row r="204" spans="1:2" x14ac:dyDescent="0.45">
      <c r="A204" s="2">
        <v>90</v>
      </c>
      <c r="B204" s="2">
        <v>35</v>
      </c>
    </row>
    <row r="205" spans="1:2" x14ac:dyDescent="0.45">
      <c r="A205" s="2">
        <v>90.4</v>
      </c>
      <c r="B205" s="2">
        <v>25</v>
      </c>
    </row>
    <row r="206" spans="1:2" x14ac:dyDescent="0.45">
      <c r="A206" s="2">
        <v>90.8</v>
      </c>
      <c r="B206" s="2">
        <v>30</v>
      </c>
    </row>
    <row r="207" spans="1:2" x14ac:dyDescent="0.45">
      <c r="A207" s="2">
        <v>91.1</v>
      </c>
      <c r="B207" s="2">
        <v>27</v>
      </c>
    </row>
    <row r="208" spans="1:2" x14ac:dyDescent="0.45">
      <c r="A208" s="2">
        <v>91.6</v>
      </c>
      <c r="B208" s="2">
        <v>27</v>
      </c>
    </row>
    <row r="209" spans="1:2" x14ac:dyDescent="0.45">
      <c r="A209" s="2">
        <v>92</v>
      </c>
      <c r="B209" s="2">
        <v>25</v>
      </c>
    </row>
    <row r="210" spans="1:2" x14ac:dyDescent="0.45">
      <c r="A210" s="2">
        <v>92.4</v>
      </c>
      <c r="B210" s="2">
        <v>25</v>
      </c>
    </row>
    <row r="211" spans="1:2" x14ac:dyDescent="0.45">
      <c r="A211" s="2">
        <v>92.8</v>
      </c>
      <c r="B211" s="2">
        <v>26</v>
      </c>
    </row>
    <row r="212" spans="1:2" x14ac:dyDescent="0.45">
      <c r="A212" s="2">
        <v>93.1</v>
      </c>
      <c r="B212" s="2">
        <v>31</v>
      </c>
    </row>
    <row r="213" spans="1:2" x14ac:dyDescent="0.45">
      <c r="A213" s="2">
        <v>93.6</v>
      </c>
      <c r="B213" s="2">
        <v>25</v>
      </c>
    </row>
    <row r="214" spans="1:2" x14ac:dyDescent="0.45">
      <c r="A214" s="2">
        <v>94</v>
      </c>
      <c r="B214" s="2">
        <v>28</v>
      </c>
    </row>
    <row r="215" spans="1:2" x14ac:dyDescent="0.45">
      <c r="A215" s="2">
        <v>94.4</v>
      </c>
      <c r="B215" s="2">
        <v>24</v>
      </c>
    </row>
    <row r="216" spans="1:2" x14ac:dyDescent="0.45">
      <c r="A216" s="2">
        <v>94.8</v>
      </c>
      <c r="B216" s="2">
        <v>24</v>
      </c>
    </row>
    <row r="217" spans="1:2" x14ac:dyDescent="0.45">
      <c r="A217" s="2">
        <v>95.1</v>
      </c>
      <c r="B217" s="2">
        <v>29</v>
      </c>
    </row>
    <row r="218" spans="1:2" x14ac:dyDescent="0.45">
      <c r="A218" s="2">
        <v>95.6</v>
      </c>
      <c r="B218" s="2">
        <v>20</v>
      </c>
    </row>
    <row r="219" spans="1:2" x14ac:dyDescent="0.45">
      <c r="A219" s="2">
        <v>96</v>
      </c>
      <c r="B219" s="2">
        <v>26</v>
      </c>
    </row>
    <row r="220" spans="1:2" x14ac:dyDescent="0.45">
      <c r="A220" s="2">
        <v>96.4</v>
      </c>
      <c r="B220" s="2">
        <v>25</v>
      </c>
    </row>
    <row r="221" spans="1:2" x14ac:dyDescent="0.45">
      <c r="A221" s="2">
        <v>96.8</v>
      </c>
      <c r="B221" s="2">
        <v>23</v>
      </c>
    </row>
    <row r="222" spans="1:2" x14ac:dyDescent="0.45">
      <c r="A222" s="2">
        <v>97.1</v>
      </c>
      <c r="B222" s="2">
        <v>27</v>
      </c>
    </row>
    <row r="223" spans="1:2" x14ac:dyDescent="0.45">
      <c r="A223" s="2">
        <v>97.6</v>
      </c>
      <c r="B223" s="2">
        <v>27</v>
      </c>
    </row>
    <row r="224" spans="1:2" x14ac:dyDescent="0.45">
      <c r="A224" s="2">
        <v>98</v>
      </c>
      <c r="B224" s="2">
        <v>27</v>
      </c>
    </row>
    <row r="225" spans="1:2" x14ac:dyDescent="0.45">
      <c r="A225" s="2">
        <v>98.4</v>
      </c>
      <c r="B225" s="2">
        <v>21</v>
      </c>
    </row>
    <row r="226" spans="1:2" x14ac:dyDescent="0.45">
      <c r="A226" s="2">
        <v>98.8</v>
      </c>
      <c r="B226" s="2">
        <v>24</v>
      </c>
    </row>
    <row r="227" spans="1:2" x14ac:dyDescent="0.45">
      <c r="A227" s="2">
        <v>99.1</v>
      </c>
      <c r="B227" s="2">
        <v>25</v>
      </c>
    </row>
    <row r="228" spans="1:2" x14ac:dyDescent="0.45">
      <c r="A228" s="2">
        <v>99.6</v>
      </c>
      <c r="B228" s="2">
        <v>24</v>
      </c>
    </row>
    <row r="229" spans="1:2" x14ac:dyDescent="0.45">
      <c r="A229" s="2">
        <v>100</v>
      </c>
      <c r="B229" s="2">
        <v>26</v>
      </c>
    </row>
    <row r="230" spans="1:2" x14ac:dyDescent="0.45">
      <c r="A230" s="2">
        <v>100.4</v>
      </c>
      <c r="B230" s="2">
        <v>23</v>
      </c>
    </row>
    <row r="231" spans="1:2" x14ac:dyDescent="0.45">
      <c r="A231" s="2">
        <v>100.8</v>
      </c>
      <c r="B231" s="2">
        <v>20</v>
      </c>
    </row>
    <row r="232" spans="1:2" x14ac:dyDescent="0.45">
      <c r="A232" s="2">
        <v>101.2</v>
      </c>
      <c r="B232" s="2">
        <v>23</v>
      </c>
    </row>
    <row r="233" spans="1:2" x14ac:dyDescent="0.45">
      <c r="A233" s="2">
        <v>101.6</v>
      </c>
      <c r="B233" s="2">
        <v>20</v>
      </c>
    </row>
    <row r="234" spans="1:2" x14ac:dyDescent="0.45">
      <c r="A234" s="2">
        <v>102</v>
      </c>
      <c r="B234" s="2">
        <v>25</v>
      </c>
    </row>
    <row r="235" spans="1:2" x14ac:dyDescent="0.45">
      <c r="A235" s="2">
        <v>102.4</v>
      </c>
      <c r="B235" s="2">
        <v>23</v>
      </c>
    </row>
    <row r="236" spans="1:2" x14ac:dyDescent="0.45">
      <c r="A236" s="2">
        <v>102.8</v>
      </c>
      <c r="B236" s="2">
        <v>25</v>
      </c>
    </row>
    <row r="237" spans="1:2" x14ac:dyDescent="0.45">
      <c r="A237" s="2">
        <v>103.2</v>
      </c>
      <c r="B237" s="2">
        <v>22</v>
      </c>
    </row>
    <row r="238" spans="1:2" x14ac:dyDescent="0.45">
      <c r="A238" s="2">
        <v>103.6</v>
      </c>
      <c r="B238" s="2">
        <v>24</v>
      </c>
    </row>
    <row r="239" spans="1:2" x14ac:dyDescent="0.45">
      <c r="A239" s="2">
        <v>104</v>
      </c>
      <c r="B239" s="2">
        <v>24</v>
      </c>
    </row>
    <row r="240" spans="1:2" x14ac:dyDescent="0.45">
      <c r="A240" s="2">
        <v>104.4</v>
      </c>
      <c r="B240" s="2">
        <v>27</v>
      </c>
    </row>
    <row r="241" spans="1:2" x14ac:dyDescent="0.45">
      <c r="A241" s="2">
        <v>104.8</v>
      </c>
      <c r="B241" s="2">
        <v>20</v>
      </c>
    </row>
    <row r="242" spans="1:2" x14ac:dyDescent="0.45">
      <c r="A242" s="2">
        <v>105.2</v>
      </c>
      <c r="B242" s="2">
        <v>24</v>
      </c>
    </row>
    <row r="243" spans="1:2" x14ac:dyDescent="0.45">
      <c r="A243" s="2">
        <v>105.6</v>
      </c>
      <c r="B243" s="2">
        <v>25</v>
      </c>
    </row>
    <row r="244" spans="1:2" x14ac:dyDescent="0.45">
      <c r="A244" s="2">
        <v>106</v>
      </c>
      <c r="B244" s="2">
        <v>24</v>
      </c>
    </row>
    <row r="245" spans="1:2" x14ac:dyDescent="0.45">
      <c r="A245" s="2">
        <v>106.4</v>
      </c>
      <c r="B245" s="2">
        <v>25</v>
      </c>
    </row>
    <row r="246" spans="1:2" x14ac:dyDescent="0.45">
      <c r="A246" s="2">
        <v>106.8</v>
      </c>
      <c r="B246" s="2">
        <v>25</v>
      </c>
    </row>
    <row r="247" spans="1:2" x14ac:dyDescent="0.45">
      <c r="A247" s="2">
        <v>107.2</v>
      </c>
      <c r="B247" s="2">
        <v>25</v>
      </c>
    </row>
    <row r="248" spans="1:2" x14ac:dyDescent="0.45">
      <c r="A248" s="2">
        <v>107.6</v>
      </c>
      <c r="B248" s="2">
        <v>26</v>
      </c>
    </row>
    <row r="249" spans="1:2" x14ac:dyDescent="0.45">
      <c r="A249" s="2">
        <v>108</v>
      </c>
      <c r="B249" s="2">
        <v>26</v>
      </c>
    </row>
    <row r="250" spans="1:2" x14ac:dyDescent="0.45">
      <c r="A250" s="2">
        <v>108.4</v>
      </c>
      <c r="B250" s="2">
        <v>22</v>
      </c>
    </row>
    <row r="251" spans="1:2" x14ac:dyDescent="0.45">
      <c r="A251" s="2">
        <v>108.8</v>
      </c>
      <c r="B251" s="2">
        <v>25</v>
      </c>
    </row>
    <row r="252" spans="1:2" x14ac:dyDescent="0.45">
      <c r="A252" s="2">
        <v>109.2</v>
      </c>
      <c r="B252" s="2">
        <v>21</v>
      </c>
    </row>
    <row r="253" spans="1:2" x14ac:dyDescent="0.45">
      <c r="A253" s="2">
        <v>109.6</v>
      </c>
      <c r="B253" s="2">
        <v>28</v>
      </c>
    </row>
    <row r="254" spans="1:2" x14ac:dyDescent="0.45">
      <c r="A254" s="2">
        <v>110</v>
      </c>
      <c r="B254" s="2">
        <v>28</v>
      </c>
    </row>
  </sheetData>
  <mergeCells count="1">
    <mergeCell ref="A1:B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6"/>
  <sheetViews>
    <sheetView tabSelected="1" zoomScale="68" workbookViewId="0">
      <pane xSplit="1" ySplit="4" topLeftCell="N5" activePane="bottomRight" state="frozen"/>
      <selection pane="topRight"/>
      <selection pane="bottomLeft"/>
      <selection pane="bottomRight" activeCell="E18" sqref="E18"/>
    </sheetView>
  </sheetViews>
  <sheetFormatPr defaultRowHeight="14.25" x14ac:dyDescent="0.45"/>
  <cols>
    <col min="1" max="1" width="30" customWidth="1"/>
    <col min="2" max="2" width="16" customWidth="1"/>
    <col min="3" max="3" width="20" customWidth="1"/>
    <col min="4" max="4" width="18" customWidth="1"/>
    <col min="5" max="5" width="2" customWidth="1"/>
    <col min="6" max="6" width="16" customWidth="1"/>
    <col min="7" max="7" width="20" customWidth="1"/>
    <col min="8" max="8" width="18" customWidth="1"/>
    <col min="9" max="9" width="2" customWidth="1"/>
    <col min="10" max="10" width="16" customWidth="1"/>
    <col min="11" max="11" width="20" customWidth="1"/>
    <col min="12" max="12" width="18" customWidth="1"/>
    <col min="13" max="13" width="2" customWidth="1"/>
    <col min="14" max="14" width="16" customWidth="1"/>
    <col min="15" max="15" width="20" customWidth="1"/>
    <col min="16" max="16" width="18" customWidth="1"/>
    <col min="17" max="17" width="2" customWidth="1"/>
    <col min="18" max="18" width="16" customWidth="1"/>
    <col min="19" max="19" width="20" customWidth="1"/>
    <col min="20" max="20" width="18" customWidth="1"/>
  </cols>
  <sheetData>
    <row r="1" spans="1:20" ht="30" customHeight="1" x14ac:dyDescent="0.45">
      <c r="A1" s="4"/>
      <c r="B1" s="20" t="s">
        <v>5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</row>
    <row r="2" spans="1:20" ht="22.05" customHeight="1" x14ac:dyDescent="0.45">
      <c r="A2" s="5"/>
      <c r="B2" s="15" t="s">
        <v>6</v>
      </c>
      <c r="C2" s="21"/>
      <c r="D2" s="16"/>
      <c r="F2" s="15" t="s">
        <v>7</v>
      </c>
      <c r="G2" s="16"/>
      <c r="J2" s="17" t="s">
        <v>8</v>
      </c>
      <c r="K2" s="14"/>
      <c r="M2" s="5"/>
      <c r="N2" s="18" t="s">
        <v>9</v>
      </c>
      <c r="O2" s="19"/>
      <c r="R2" s="18" t="s">
        <v>10</v>
      </c>
      <c r="S2" s="19"/>
    </row>
    <row r="3" spans="1:20" ht="30" customHeight="1" x14ac:dyDescent="0.45">
      <c r="A3" s="1"/>
      <c r="B3" s="6" t="s">
        <v>1</v>
      </c>
      <c r="C3" s="6" t="s">
        <v>2</v>
      </c>
      <c r="D3" s="6" t="s">
        <v>11</v>
      </c>
      <c r="E3" s="3"/>
      <c r="F3" s="7" t="s">
        <v>1</v>
      </c>
      <c r="G3" s="7" t="s">
        <v>2</v>
      </c>
      <c r="H3" s="7" t="s">
        <v>11</v>
      </c>
      <c r="J3" s="6" t="s">
        <v>1</v>
      </c>
      <c r="K3" s="6" t="s">
        <v>2</v>
      </c>
      <c r="L3" s="6" t="s">
        <v>11</v>
      </c>
      <c r="M3" s="1"/>
      <c r="N3" s="7" t="s">
        <v>1</v>
      </c>
      <c r="O3" s="7" t="s">
        <v>2</v>
      </c>
      <c r="P3" s="7" t="s">
        <v>11</v>
      </c>
      <c r="R3" s="6" t="s">
        <v>1</v>
      </c>
      <c r="S3" s="6" t="s">
        <v>2</v>
      </c>
      <c r="T3" s="6" t="s">
        <v>11</v>
      </c>
    </row>
    <row r="4" spans="1:20" x14ac:dyDescent="0.45">
      <c r="A4" s="2"/>
      <c r="B4" s="8" t="s">
        <v>12</v>
      </c>
      <c r="C4" s="8" t="s">
        <v>4</v>
      </c>
      <c r="D4" s="8"/>
      <c r="E4" s="2"/>
      <c r="F4" s="9" t="s">
        <v>12</v>
      </c>
      <c r="G4" s="9" t="s">
        <v>4</v>
      </c>
      <c r="H4" s="9"/>
      <c r="J4" s="8" t="s">
        <v>12</v>
      </c>
      <c r="K4" s="8" t="s">
        <v>4</v>
      </c>
      <c r="L4" s="8"/>
      <c r="M4" s="2"/>
      <c r="N4" s="9" t="s">
        <v>12</v>
      </c>
      <c r="O4" s="9" t="s">
        <v>4</v>
      </c>
      <c r="P4" s="9"/>
      <c r="R4" s="8" t="s">
        <v>12</v>
      </c>
      <c r="S4" s="8" t="s">
        <v>4</v>
      </c>
      <c r="T4" s="8"/>
    </row>
    <row r="5" spans="1:20" x14ac:dyDescent="0.45">
      <c r="A5" s="2"/>
      <c r="B5" s="10">
        <v>23.6</v>
      </c>
      <c r="C5" s="10">
        <v>94</v>
      </c>
      <c r="D5" s="10">
        <f t="shared" ref="D5:D17" si="0">B5*C5</f>
        <v>2218.4</v>
      </c>
      <c r="E5" s="2"/>
      <c r="F5" s="10">
        <v>23.6</v>
      </c>
      <c r="G5" s="10">
        <v>103</v>
      </c>
      <c r="H5" s="10">
        <f t="shared" ref="H5:H17" si="1">F5*G5</f>
        <v>2430.8000000000002</v>
      </c>
      <c r="J5" s="10">
        <v>23.6</v>
      </c>
      <c r="K5" s="10">
        <v>99</v>
      </c>
      <c r="L5" s="10">
        <f t="shared" ref="L5:L17" si="2">J5*K5</f>
        <v>2336.4</v>
      </c>
      <c r="M5" s="2"/>
      <c r="N5" s="10">
        <v>23.6</v>
      </c>
      <c r="O5" s="10">
        <v>81</v>
      </c>
      <c r="P5" s="10">
        <f t="shared" ref="P5:P17" si="3">N5*O5</f>
        <v>1911.6000000000001</v>
      </c>
      <c r="R5" s="10">
        <v>23.6</v>
      </c>
      <c r="S5" s="10">
        <v>90</v>
      </c>
      <c r="T5" s="10">
        <f t="shared" ref="T5:T17" si="4">R5*S5</f>
        <v>2124</v>
      </c>
    </row>
    <row r="6" spans="1:20" x14ac:dyDescent="0.45">
      <c r="A6" s="2"/>
      <c r="B6" s="10">
        <v>23.8</v>
      </c>
      <c r="C6" s="10">
        <v>83</v>
      </c>
      <c r="D6" s="10">
        <f t="shared" si="0"/>
        <v>1975.4</v>
      </c>
      <c r="E6" s="2"/>
      <c r="F6" s="10">
        <v>23.8</v>
      </c>
      <c r="G6" s="10">
        <v>80</v>
      </c>
      <c r="H6" s="10">
        <f t="shared" si="1"/>
        <v>1904</v>
      </c>
      <c r="J6" s="10">
        <v>23.8</v>
      </c>
      <c r="K6" s="10">
        <v>76</v>
      </c>
      <c r="L6" s="10">
        <f t="shared" si="2"/>
        <v>1808.8</v>
      </c>
      <c r="M6" s="2"/>
      <c r="N6" s="10">
        <v>23.8</v>
      </c>
      <c r="O6" s="10">
        <v>86</v>
      </c>
      <c r="P6" s="10">
        <f t="shared" si="3"/>
        <v>2046.8</v>
      </c>
      <c r="R6" s="10">
        <v>23.8</v>
      </c>
      <c r="S6" s="10">
        <v>82</v>
      </c>
      <c r="T6" s="10">
        <f t="shared" si="4"/>
        <v>1951.6000000000001</v>
      </c>
    </row>
    <row r="7" spans="1:20" x14ac:dyDescent="0.45">
      <c r="A7" s="2"/>
      <c r="B7" s="10">
        <v>24</v>
      </c>
      <c r="C7" s="10">
        <v>120</v>
      </c>
      <c r="D7" s="10">
        <f t="shared" si="0"/>
        <v>2880</v>
      </c>
      <c r="E7" s="2"/>
      <c r="F7" s="10">
        <v>24</v>
      </c>
      <c r="G7" s="10">
        <v>117</v>
      </c>
      <c r="H7" s="10">
        <f t="shared" si="1"/>
        <v>2808</v>
      </c>
      <c r="J7" s="10">
        <v>24</v>
      </c>
      <c r="K7" s="10">
        <v>99</v>
      </c>
      <c r="L7" s="10">
        <f t="shared" si="2"/>
        <v>2376</v>
      </c>
      <c r="M7" s="2"/>
      <c r="N7" s="10">
        <v>24</v>
      </c>
      <c r="O7" s="10">
        <v>94</v>
      </c>
      <c r="P7" s="10">
        <f t="shared" si="3"/>
        <v>2256</v>
      </c>
      <c r="R7" s="10">
        <v>24</v>
      </c>
      <c r="S7" s="10">
        <v>98</v>
      </c>
      <c r="T7" s="10">
        <f t="shared" si="4"/>
        <v>2352</v>
      </c>
    </row>
    <row r="8" spans="1:20" x14ac:dyDescent="0.45">
      <c r="A8" s="2"/>
      <c r="B8" s="10">
        <v>24.2</v>
      </c>
      <c r="C8" s="10">
        <v>134</v>
      </c>
      <c r="D8" s="10">
        <f t="shared" si="0"/>
        <v>3242.7999999999997</v>
      </c>
      <c r="E8" s="2"/>
      <c r="F8" s="10">
        <v>24.2</v>
      </c>
      <c r="G8" s="10">
        <v>122</v>
      </c>
      <c r="H8" s="10">
        <f t="shared" si="1"/>
        <v>2952.4</v>
      </c>
      <c r="J8" s="10">
        <v>24.2</v>
      </c>
      <c r="K8" s="10">
        <v>99</v>
      </c>
      <c r="L8" s="10">
        <f t="shared" si="2"/>
        <v>2395.7999999999997</v>
      </c>
      <c r="M8" s="2"/>
      <c r="N8" s="10">
        <v>24.2</v>
      </c>
      <c r="O8" s="10">
        <v>137</v>
      </c>
      <c r="P8" s="10">
        <f t="shared" si="3"/>
        <v>3315.4</v>
      </c>
      <c r="R8" s="10">
        <v>24.2</v>
      </c>
      <c r="S8" s="10">
        <v>119</v>
      </c>
      <c r="T8" s="10">
        <f t="shared" si="4"/>
        <v>2879.7999999999997</v>
      </c>
    </row>
    <row r="9" spans="1:20" x14ac:dyDescent="0.45">
      <c r="A9" s="2"/>
      <c r="B9" s="10">
        <v>24.4</v>
      </c>
      <c r="C9" s="10">
        <v>231</v>
      </c>
      <c r="D9" s="10">
        <f t="shared" si="0"/>
        <v>5636.4</v>
      </c>
      <c r="E9" s="2"/>
      <c r="F9" s="10">
        <v>24.4</v>
      </c>
      <c r="G9" s="10">
        <v>192</v>
      </c>
      <c r="H9" s="10">
        <f t="shared" si="1"/>
        <v>4684.7999999999993</v>
      </c>
      <c r="J9" s="10">
        <v>24.4</v>
      </c>
      <c r="K9" s="10">
        <v>182</v>
      </c>
      <c r="L9" s="10">
        <f t="shared" si="2"/>
        <v>4440.8</v>
      </c>
      <c r="M9" s="2"/>
      <c r="N9" s="10">
        <v>24.4</v>
      </c>
      <c r="O9" s="10">
        <v>190</v>
      </c>
      <c r="P9" s="10">
        <f t="shared" si="3"/>
        <v>4636</v>
      </c>
      <c r="R9" s="10">
        <v>24.4</v>
      </c>
      <c r="S9" s="10">
        <v>180</v>
      </c>
      <c r="T9" s="10">
        <f t="shared" si="4"/>
        <v>4392</v>
      </c>
    </row>
    <row r="10" spans="1:20" x14ac:dyDescent="0.45">
      <c r="A10" s="2"/>
      <c r="B10" s="10">
        <v>24.6</v>
      </c>
      <c r="C10" s="10">
        <v>449</v>
      </c>
      <c r="D10" s="10">
        <f t="shared" si="0"/>
        <v>11045.400000000001</v>
      </c>
      <c r="E10" s="2"/>
      <c r="F10" s="10">
        <v>24.6</v>
      </c>
      <c r="G10" s="10">
        <v>408</v>
      </c>
      <c r="H10" s="10">
        <f t="shared" si="1"/>
        <v>10036.800000000001</v>
      </c>
      <c r="J10" s="10">
        <v>24.6</v>
      </c>
      <c r="K10" s="10">
        <v>373</v>
      </c>
      <c r="L10" s="10">
        <f t="shared" si="2"/>
        <v>9175.8000000000011</v>
      </c>
      <c r="M10" s="2"/>
      <c r="N10" s="10">
        <v>24.6</v>
      </c>
      <c r="O10" s="10">
        <v>332</v>
      </c>
      <c r="P10" s="10">
        <f t="shared" si="3"/>
        <v>8167.2000000000007</v>
      </c>
      <c r="R10" s="10">
        <v>24.6</v>
      </c>
      <c r="S10" s="10">
        <v>355</v>
      </c>
      <c r="T10" s="10">
        <f t="shared" si="4"/>
        <v>8733</v>
      </c>
    </row>
    <row r="11" spans="1:20" x14ac:dyDescent="0.45">
      <c r="A11" s="2"/>
      <c r="B11" s="10">
        <v>24.8</v>
      </c>
      <c r="C11" s="10">
        <v>781</v>
      </c>
      <c r="D11" s="10">
        <f t="shared" si="0"/>
        <v>19368.8</v>
      </c>
      <c r="E11" s="2"/>
      <c r="F11" s="10">
        <v>24.8</v>
      </c>
      <c r="G11" s="10">
        <v>776</v>
      </c>
      <c r="H11" s="10">
        <f t="shared" si="1"/>
        <v>19244.8</v>
      </c>
      <c r="J11" s="10">
        <v>24.8</v>
      </c>
      <c r="K11" s="10">
        <v>697</v>
      </c>
      <c r="L11" s="10">
        <f t="shared" si="2"/>
        <v>17285.600000000002</v>
      </c>
      <c r="M11" s="2"/>
      <c r="N11" s="10">
        <v>24.8</v>
      </c>
      <c r="O11" s="10">
        <v>707</v>
      </c>
      <c r="P11" s="10">
        <f t="shared" si="3"/>
        <v>17533.600000000002</v>
      </c>
      <c r="R11" s="10">
        <v>24.8</v>
      </c>
      <c r="S11" s="10">
        <v>715</v>
      </c>
      <c r="T11" s="10">
        <f t="shared" si="4"/>
        <v>17732</v>
      </c>
    </row>
    <row r="12" spans="1:20" x14ac:dyDescent="0.45">
      <c r="A12" s="2"/>
      <c r="B12" s="10">
        <v>25</v>
      </c>
      <c r="C12" s="10">
        <v>732</v>
      </c>
      <c r="D12" s="10">
        <f t="shared" si="0"/>
        <v>18300</v>
      </c>
      <c r="E12" s="2"/>
      <c r="F12" s="10">
        <v>25</v>
      </c>
      <c r="G12" s="10">
        <v>697</v>
      </c>
      <c r="H12" s="10">
        <f t="shared" si="1"/>
        <v>17425</v>
      </c>
      <c r="J12" s="10">
        <v>25</v>
      </c>
      <c r="K12" s="10">
        <v>707</v>
      </c>
      <c r="L12" s="10">
        <f t="shared" si="2"/>
        <v>17675</v>
      </c>
      <c r="M12" s="2"/>
      <c r="N12" s="10">
        <v>25</v>
      </c>
      <c r="O12" s="10">
        <v>692</v>
      </c>
      <c r="P12" s="10">
        <f t="shared" si="3"/>
        <v>17300</v>
      </c>
      <c r="R12" s="10">
        <v>25</v>
      </c>
      <c r="S12" s="10">
        <v>650</v>
      </c>
      <c r="T12" s="10">
        <f t="shared" si="4"/>
        <v>16250</v>
      </c>
    </row>
    <row r="13" spans="1:20" x14ac:dyDescent="0.45">
      <c r="A13" s="2"/>
      <c r="B13" s="10">
        <v>25.2</v>
      </c>
      <c r="C13" s="10">
        <v>508</v>
      </c>
      <c r="D13" s="10">
        <f t="shared" si="0"/>
        <v>12801.6</v>
      </c>
      <c r="E13" s="2"/>
      <c r="F13" s="10">
        <v>25.2</v>
      </c>
      <c r="G13" s="10">
        <v>548</v>
      </c>
      <c r="H13" s="10">
        <f t="shared" si="1"/>
        <v>13809.6</v>
      </c>
      <c r="J13" s="10">
        <v>25.2</v>
      </c>
      <c r="K13" s="10">
        <v>569</v>
      </c>
      <c r="L13" s="10">
        <f t="shared" si="2"/>
        <v>14338.8</v>
      </c>
      <c r="M13" s="2"/>
      <c r="N13" s="10">
        <v>25.2</v>
      </c>
      <c r="O13" s="10">
        <v>552</v>
      </c>
      <c r="P13" s="10">
        <f t="shared" si="3"/>
        <v>13910.4</v>
      </c>
      <c r="R13" s="10">
        <v>25.2</v>
      </c>
      <c r="S13" s="10">
        <v>597</v>
      </c>
      <c r="T13" s="10">
        <f t="shared" si="4"/>
        <v>15044.4</v>
      </c>
    </row>
    <row r="14" spans="1:20" x14ac:dyDescent="0.45">
      <c r="A14" s="2"/>
      <c r="B14" s="10">
        <v>25.4</v>
      </c>
      <c r="C14" s="10">
        <v>274</v>
      </c>
      <c r="D14" s="10">
        <f t="shared" si="0"/>
        <v>6959.5999999999995</v>
      </c>
      <c r="E14" s="2"/>
      <c r="F14" s="10">
        <v>25.4</v>
      </c>
      <c r="G14" s="10">
        <v>295</v>
      </c>
      <c r="H14" s="10">
        <f t="shared" si="1"/>
        <v>7493</v>
      </c>
      <c r="J14" s="10">
        <v>25.4</v>
      </c>
      <c r="K14" s="10">
        <v>306</v>
      </c>
      <c r="L14" s="10">
        <f t="shared" si="2"/>
        <v>7772.4</v>
      </c>
      <c r="M14" s="2"/>
      <c r="N14" s="10">
        <v>25.4</v>
      </c>
      <c r="O14" s="10">
        <v>276</v>
      </c>
      <c r="P14" s="10">
        <f t="shared" si="3"/>
        <v>7010.4</v>
      </c>
      <c r="R14" s="10">
        <v>25.4</v>
      </c>
      <c r="S14" s="10">
        <v>346</v>
      </c>
      <c r="T14" s="10">
        <f t="shared" si="4"/>
        <v>8788.4</v>
      </c>
    </row>
    <row r="15" spans="1:20" x14ac:dyDescent="0.45">
      <c r="A15" s="2"/>
      <c r="B15" s="10">
        <v>25.6</v>
      </c>
      <c r="C15" s="10">
        <v>200</v>
      </c>
      <c r="D15" s="10">
        <f t="shared" si="0"/>
        <v>5120</v>
      </c>
      <c r="E15" s="2"/>
      <c r="F15" s="10">
        <v>25.6</v>
      </c>
      <c r="G15" s="10">
        <v>163</v>
      </c>
      <c r="H15" s="10">
        <f t="shared" si="1"/>
        <v>4172.8</v>
      </c>
      <c r="J15" s="10">
        <v>25.6</v>
      </c>
      <c r="K15" s="10">
        <v>165</v>
      </c>
      <c r="L15" s="10">
        <f t="shared" si="2"/>
        <v>4224</v>
      </c>
      <c r="M15" s="2"/>
      <c r="N15" s="10">
        <v>25.6</v>
      </c>
      <c r="O15" s="10">
        <v>182</v>
      </c>
      <c r="P15" s="10">
        <f t="shared" si="3"/>
        <v>4659.2</v>
      </c>
      <c r="R15" s="10">
        <v>25.6</v>
      </c>
      <c r="S15" s="10">
        <v>186</v>
      </c>
      <c r="T15" s="10">
        <f t="shared" si="4"/>
        <v>4761.6000000000004</v>
      </c>
    </row>
    <row r="16" spans="1:20" x14ac:dyDescent="0.45">
      <c r="A16" s="2"/>
      <c r="B16" s="10">
        <v>25.8</v>
      </c>
      <c r="C16" s="10">
        <v>153</v>
      </c>
      <c r="D16" s="10">
        <f t="shared" si="0"/>
        <v>3947.4</v>
      </c>
      <c r="E16" s="2"/>
      <c r="F16" s="10">
        <v>25.8</v>
      </c>
      <c r="G16" s="10">
        <v>122</v>
      </c>
      <c r="H16" s="10">
        <f t="shared" si="1"/>
        <v>3147.6</v>
      </c>
      <c r="J16" s="10">
        <v>25.8</v>
      </c>
      <c r="K16" s="10">
        <v>160</v>
      </c>
      <c r="L16" s="10">
        <f t="shared" si="2"/>
        <v>4128</v>
      </c>
      <c r="M16" s="2"/>
      <c r="N16" s="10">
        <v>25.8</v>
      </c>
      <c r="O16" s="10">
        <v>150</v>
      </c>
      <c r="P16" s="10">
        <f t="shared" si="3"/>
        <v>3870</v>
      </c>
      <c r="R16" s="10">
        <v>25.8</v>
      </c>
      <c r="S16" s="10">
        <v>127</v>
      </c>
      <c r="T16" s="10">
        <f t="shared" si="4"/>
        <v>3276.6</v>
      </c>
    </row>
    <row r="17" spans="1:20" x14ac:dyDescent="0.45">
      <c r="A17" s="2"/>
      <c r="B17" s="10">
        <v>26</v>
      </c>
      <c r="C17" s="10">
        <v>99</v>
      </c>
      <c r="D17" s="10">
        <f t="shared" si="0"/>
        <v>2574</v>
      </c>
      <c r="E17" s="2"/>
      <c r="F17" s="10">
        <v>26</v>
      </c>
      <c r="G17" s="10">
        <v>109</v>
      </c>
      <c r="H17" s="10">
        <f t="shared" si="1"/>
        <v>2834</v>
      </c>
      <c r="J17" s="10">
        <v>26</v>
      </c>
      <c r="K17" s="10">
        <v>115</v>
      </c>
      <c r="L17" s="10">
        <f t="shared" si="2"/>
        <v>2990</v>
      </c>
      <c r="M17" s="2"/>
      <c r="N17" s="10">
        <v>26</v>
      </c>
      <c r="O17" s="10">
        <v>109</v>
      </c>
      <c r="P17" s="10">
        <f t="shared" si="3"/>
        <v>2834</v>
      </c>
      <c r="R17" s="10">
        <v>26</v>
      </c>
      <c r="S17" s="10">
        <v>101</v>
      </c>
      <c r="T17" s="10">
        <f t="shared" si="4"/>
        <v>2626</v>
      </c>
    </row>
    <row r="18" spans="1:20" x14ac:dyDescent="0.45">
      <c r="C18" s="11">
        <f>SUM(C5:C17)</f>
        <v>3858</v>
      </c>
      <c r="D18" s="11">
        <f>SUM(D5:D17)</f>
        <v>96069.8</v>
      </c>
      <c r="G18" s="11">
        <f>SUM(G5:G17)</f>
        <v>3732</v>
      </c>
      <c r="H18" s="11">
        <f>SUM(H5:H17)</f>
        <v>92943.60000000002</v>
      </c>
      <c r="K18" s="11">
        <f>SUM(K5:K17)</f>
        <v>3647</v>
      </c>
      <c r="L18" s="11">
        <f>SUM(L5:L17)</f>
        <v>90947.4</v>
      </c>
      <c r="O18" s="11">
        <f>SUM(O5:O17)</f>
        <v>3588</v>
      </c>
      <c r="P18" s="11">
        <f>SUM(P5:P17)</f>
        <v>89450.599999999991</v>
      </c>
      <c r="S18" s="11">
        <f>SUM(S5:S17)</f>
        <v>3646</v>
      </c>
      <c r="T18" s="11">
        <f>SUM(T5:T17)</f>
        <v>90911.400000000009</v>
      </c>
    </row>
    <row r="19" spans="1:20" x14ac:dyDescent="0.45">
      <c r="A19" s="12" t="s">
        <v>13</v>
      </c>
      <c r="D19" s="11">
        <f>D18/C18</f>
        <v>24.901451529289787</v>
      </c>
      <c r="H19" s="11">
        <f>H18/G18</f>
        <v>24.904501607717048</v>
      </c>
      <c r="L19" s="11">
        <f>L18/K18</f>
        <v>24.937592541815189</v>
      </c>
      <c r="P19" s="11">
        <f>P18/O18</f>
        <v>24.930490523968782</v>
      </c>
      <c r="T19" s="11">
        <f>T18/S18</f>
        <v>24.934558420186509</v>
      </c>
    </row>
    <row r="20" spans="1:20" x14ac:dyDescent="0.45">
      <c r="A20" s="12" t="s">
        <v>14</v>
      </c>
      <c r="D20" s="11">
        <f>RADIANS(D19/2)</f>
        <v>0.21730615885594198</v>
      </c>
      <c r="H20" s="11">
        <f>RADIANS(H19/2)</f>
        <v>0.21733277581144186</v>
      </c>
      <c r="L20" s="11">
        <f>RADIANS(L19/2)</f>
        <v>0.21762154868772837</v>
      </c>
      <c r="P20" s="11">
        <f>RADIANS(P19/2)</f>
        <v>0.21755957189025077</v>
      </c>
      <c r="T20" s="11">
        <f>RADIANS(T19/2)</f>
        <v>0.21759507098156516</v>
      </c>
    </row>
    <row r="23" spans="1:20" x14ac:dyDescent="0.45">
      <c r="A23" s="12" t="s">
        <v>15</v>
      </c>
      <c r="C23" s="11">
        <f>SUM(D20+H20+L20+P20+T20)/5</f>
        <v>0.2174830252453856</v>
      </c>
      <c r="F23" s="12" t="s">
        <v>16</v>
      </c>
      <c r="G23" s="11">
        <v>1.3922000000000001E-10</v>
      </c>
    </row>
    <row r="25" spans="1:20" x14ac:dyDescent="0.45">
      <c r="A25" s="12" t="s">
        <v>17</v>
      </c>
      <c r="C25" s="11">
        <f>(1*G23)/(2*SIN(C23))</f>
        <v>3.2260811557818908E-10</v>
      </c>
    </row>
    <row r="26" spans="1:20" x14ac:dyDescent="0.45">
      <c r="A26" s="12" t="s">
        <v>18</v>
      </c>
    </row>
  </sheetData>
  <mergeCells count="6">
    <mergeCell ref="F2:G2"/>
    <mergeCell ref="J2:K2"/>
    <mergeCell ref="N2:O2"/>
    <mergeCell ref="R2:S2"/>
    <mergeCell ref="B1:T1"/>
    <mergeCell ref="B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7"/>
  <sheetViews>
    <sheetView workbookViewId="0">
      <pane xSplit="1" ySplit="4" topLeftCell="B5" activePane="bottomRight" state="frozen"/>
      <selection pane="topRight"/>
      <selection pane="bottomLeft"/>
      <selection pane="bottomRight" activeCell="E24" sqref="E24"/>
    </sheetView>
  </sheetViews>
  <sheetFormatPr defaultRowHeight="14.25" x14ac:dyDescent="0.45"/>
  <cols>
    <col min="1" max="1" width="30" customWidth="1"/>
    <col min="2" max="2" width="16" customWidth="1"/>
    <col min="3" max="3" width="20" customWidth="1"/>
    <col min="4" max="4" width="18" customWidth="1"/>
    <col min="5" max="5" width="2" customWidth="1"/>
    <col min="6" max="6" width="16" customWidth="1"/>
    <col min="7" max="7" width="20" customWidth="1"/>
    <col min="8" max="8" width="18" customWidth="1"/>
    <col min="9" max="9" width="2" customWidth="1"/>
    <col min="10" max="10" width="16" customWidth="1"/>
    <col min="11" max="11" width="20" customWidth="1"/>
    <col min="12" max="12" width="18" customWidth="1"/>
    <col min="13" max="13" width="2" customWidth="1"/>
    <col min="14" max="14" width="16" customWidth="1"/>
    <col min="15" max="15" width="20" customWidth="1"/>
    <col min="16" max="16" width="18" customWidth="1"/>
    <col min="17" max="17" width="2" customWidth="1"/>
    <col min="18" max="18" width="16" customWidth="1"/>
    <col min="19" max="19" width="20" customWidth="1"/>
    <col min="20" max="20" width="18" customWidth="1"/>
  </cols>
  <sheetData>
    <row r="1" spans="1:20" ht="30" customHeight="1" x14ac:dyDescent="0.45">
      <c r="A1" s="4"/>
      <c r="B1" s="20" t="s">
        <v>19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</row>
    <row r="2" spans="1:20" ht="22.05" customHeight="1" x14ac:dyDescent="0.45">
      <c r="A2" s="5"/>
      <c r="B2" s="15" t="s">
        <v>6</v>
      </c>
      <c r="C2" s="21"/>
      <c r="D2" s="16"/>
      <c r="F2" s="15" t="s">
        <v>7</v>
      </c>
      <c r="G2" s="16"/>
      <c r="J2" s="17" t="s">
        <v>8</v>
      </c>
      <c r="K2" s="14"/>
      <c r="M2" s="5"/>
      <c r="N2" s="18" t="s">
        <v>9</v>
      </c>
      <c r="O2" s="19"/>
      <c r="R2" s="18" t="s">
        <v>10</v>
      </c>
      <c r="S2" s="19"/>
    </row>
    <row r="3" spans="1:20" ht="30" customHeight="1" x14ac:dyDescent="0.45">
      <c r="A3" s="1"/>
      <c r="B3" s="6" t="s">
        <v>1</v>
      </c>
      <c r="C3" s="6" t="s">
        <v>2</v>
      </c>
      <c r="D3" s="6" t="s">
        <v>11</v>
      </c>
      <c r="E3" s="3"/>
      <c r="F3" s="7" t="s">
        <v>1</v>
      </c>
      <c r="G3" s="7" t="s">
        <v>2</v>
      </c>
      <c r="H3" s="7" t="s">
        <v>11</v>
      </c>
      <c r="J3" s="6" t="s">
        <v>1</v>
      </c>
      <c r="K3" s="6" t="s">
        <v>2</v>
      </c>
      <c r="L3" s="6" t="s">
        <v>11</v>
      </c>
      <c r="M3" s="1"/>
      <c r="N3" s="7" t="s">
        <v>1</v>
      </c>
      <c r="O3" s="7" t="s">
        <v>2</v>
      </c>
      <c r="P3" s="7" t="s">
        <v>11</v>
      </c>
      <c r="R3" s="6" t="s">
        <v>1</v>
      </c>
      <c r="S3" s="6" t="s">
        <v>2</v>
      </c>
      <c r="T3" s="6" t="s">
        <v>11</v>
      </c>
    </row>
    <row r="4" spans="1:20" x14ac:dyDescent="0.45">
      <c r="A4" s="2"/>
      <c r="B4" s="8" t="s">
        <v>12</v>
      </c>
      <c r="C4" s="8" t="s">
        <v>4</v>
      </c>
      <c r="D4" s="8"/>
      <c r="E4" s="2"/>
      <c r="F4" s="9" t="s">
        <v>12</v>
      </c>
      <c r="G4" s="9" t="s">
        <v>4</v>
      </c>
      <c r="H4" s="9"/>
      <c r="J4" s="8" t="s">
        <v>12</v>
      </c>
      <c r="K4" s="8" t="s">
        <v>4</v>
      </c>
      <c r="L4" s="8"/>
      <c r="M4" s="2"/>
      <c r="N4" s="9" t="s">
        <v>12</v>
      </c>
      <c r="O4" s="9" t="s">
        <v>4</v>
      </c>
      <c r="P4" s="9"/>
      <c r="R4" s="8" t="s">
        <v>12</v>
      </c>
      <c r="S4" s="8" t="s">
        <v>4</v>
      </c>
      <c r="T4" s="8"/>
    </row>
    <row r="5" spans="1:20" x14ac:dyDescent="0.45">
      <c r="A5" s="2"/>
      <c r="B5" s="10">
        <v>26.4</v>
      </c>
      <c r="C5" s="10">
        <v>110</v>
      </c>
      <c r="D5" s="10">
        <f t="shared" ref="D5:D18" si="0">B5*C5</f>
        <v>2904</v>
      </c>
      <c r="E5" s="2"/>
      <c r="F5" s="10">
        <v>26.4</v>
      </c>
      <c r="G5" s="10">
        <v>123</v>
      </c>
      <c r="H5" s="10">
        <f t="shared" ref="H5:H18" si="1">F5*G5</f>
        <v>3247.2</v>
      </c>
      <c r="J5" s="10">
        <v>26.4</v>
      </c>
      <c r="K5" s="10">
        <v>127</v>
      </c>
      <c r="L5" s="10">
        <f t="shared" ref="L5:L18" si="2">J5*K5</f>
        <v>3352.7999999999997</v>
      </c>
      <c r="M5" s="2"/>
      <c r="N5" s="10">
        <v>26.4</v>
      </c>
      <c r="O5" s="10">
        <v>133</v>
      </c>
      <c r="P5" s="10">
        <f t="shared" ref="P5:P18" si="3">N5*O5</f>
        <v>3511.2</v>
      </c>
      <c r="R5" s="10">
        <v>26.4</v>
      </c>
      <c r="S5" s="10">
        <v>126</v>
      </c>
      <c r="T5" s="10">
        <f t="shared" ref="T5:T18" si="4">R5*S5</f>
        <v>3326.3999999999996</v>
      </c>
    </row>
    <row r="6" spans="1:20" x14ac:dyDescent="0.45">
      <c r="A6" s="2"/>
      <c r="B6" s="10">
        <v>26.6</v>
      </c>
      <c r="C6" s="10">
        <v>184</v>
      </c>
      <c r="D6" s="10">
        <f t="shared" si="0"/>
        <v>4894.4000000000005</v>
      </c>
      <c r="E6" s="2"/>
      <c r="F6" s="10">
        <v>26.6</v>
      </c>
      <c r="G6" s="10">
        <v>188</v>
      </c>
      <c r="H6" s="10">
        <f t="shared" si="1"/>
        <v>5000.8</v>
      </c>
      <c r="J6" s="10">
        <v>26.6</v>
      </c>
      <c r="K6" s="10">
        <v>203</v>
      </c>
      <c r="L6" s="10">
        <f t="shared" si="2"/>
        <v>5399.8</v>
      </c>
      <c r="M6" s="2"/>
      <c r="N6" s="10">
        <v>26.6</v>
      </c>
      <c r="O6" s="10">
        <v>189</v>
      </c>
      <c r="P6" s="10">
        <f t="shared" si="3"/>
        <v>5027.4000000000005</v>
      </c>
      <c r="R6" s="10">
        <v>26.6</v>
      </c>
      <c r="S6" s="10">
        <v>169</v>
      </c>
      <c r="T6" s="10">
        <f t="shared" si="4"/>
        <v>4495.4000000000005</v>
      </c>
    </row>
    <row r="7" spans="1:20" x14ac:dyDescent="0.45">
      <c r="A7" s="2"/>
      <c r="B7" s="10">
        <v>26.8</v>
      </c>
      <c r="C7" s="10">
        <v>258</v>
      </c>
      <c r="D7" s="10">
        <f t="shared" si="0"/>
        <v>6914.4000000000005</v>
      </c>
      <c r="E7" s="2"/>
      <c r="F7" s="10">
        <v>26.8</v>
      </c>
      <c r="G7" s="10">
        <v>296</v>
      </c>
      <c r="H7" s="10">
        <f t="shared" si="1"/>
        <v>7932.8</v>
      </c>
      <c r="J7" s="10">
        <v>26.8</v>
      </c>
      <c r="K7" s="10">
        <v>320</v>
      </c>
      <c r="L7" s="10">
        <f t="shared" si="2"/>
        <v>8576</v>
      </c>
      <c r="M7" s="2"/>
      <c r="N7" s="10">
        <v>26.8</v>
      </c>
      <c r="O7" s="10">
        <v>261</v>
      </c>
      <c r="P7" s="10">
        <f t="shared" si="3"/>
        <v>6994.8</v>
      </c>
      <c r="R7" s="10">
        <v>26.8</v>
      </c>
      <c r="S7" s="10">
        <v>275</v>
      </c>
      <c r="T7" s="10">
        <f t="shared" si="4"/>
        <v>7370</v>
      </c>
    </row>
    <row r="8" spans="1:20" x14ac:dyDescent="0.45">
      <c r="A8" s="2"/>
      <c r="B8" s="10">
        <v>27</v>
      </c>
      <c r="C8" s="10">
        <v>518</v>
      </c>
      <c r="D8" s="10">
        <f t="shared" si="0"/>
        <v>13986</v>
      </c>
      <c r="E8" s="2"/>
      <c r="F8" s="10">
        <v>27</v>
      </c>
      <c r="G8" s="10">
        <v>502</v>
      </c>
      <c r="H8" s="10">
        <f t="shared" si="1"/>
        <v>13554</v>
      </c>
      <c r="J8" s="10">
        <v>27</v>
      </c>
      <c r="K8" s="10">
        <v>524</v>
      </c>
      <c r="L8" s="10">
        <f t="shared" si="2"/>
        <v>14148</v>
      </c>
      <c r="M8" s="2"/>
      <c r="N8" s="10">
        <v>27</v>
      </c>
      <c r="O8" s="10">
        <v>500</v>
      </c>
      <c r="P8" s="10">
        <f t="shared" si="3"/>
        <v>13500</v>
      </c>
      <c r="R8" s="10">
        <v>27</v>
      </c>
      <c r="S8" s="10">
        <v>516</v>
      </c>
      <c r="T8" s="10">
        <f t="shared" si="4"/>
        <v>13932</v>
      </c>
    </row>
    <row r="9" spans="1:20" x14ac:dyDescent="0.45">
      <c r="A9" s="2"/>
      <c r="B9" s="10">
        <v>27.2</v>
      </c>
      <c r="C9" s="10">
        <v>1028</v>
      </c>
      <c r="D9" s="10">
        <f t="shared" si="0"/>
        <v>27961.599999999999</v>
      </c>
      <c r="E9" s="2"/>
      <c r="F9" s="10">
        <v>27.2</v>
      </c>
      <c r="G9" s="10">
        <v>1085</v>
      </c>
      <c r="H9" s="10">
        <f t="shared" si="1"/>
        <v>29512</v>
      </c>
      <c r="J9" s="10">
        <v>27.2</v>
      </c>
      <c r="K9" s="10">
        <v>1098</v>
      </c>
      <c r="L9" s="10">
        <f t="shared" si="2"/>
        <v>29865.599999999999</v>
      </c>
      <c r="M9" s="2"/>
      <c r="N9" s="10">
        <v>27.2</v>
      </c>
      <c r="O9" s="10">
        <v>1115</v>
      </c>
      <c r="P9" s="10">
        <f t="shared" si="3"/>
        <v>30328</v>
      </c>
      <c r="R9" s="10">
        <v>27.2</v>
      </c>
      <c r="S9" s="10">
        <v>1103</v>
      </c>
      <c r="T9" s="10">
        <f t="shared" si="4"/>
        <v>30001.599999999999</v>
      </c>
    </row>
    <row r="10" spans="1:20" x14ac:dyDescent="0.45">
      <c r="A10" s="2"/>
      <c r="B10" s="10">
        <v>27.4</v>
      </c>
      <c r="C10" s="10">
        <v>2447</v>
      </c>
      <c r="D10" s="10">
        <f t="shared" si="0"/>
        <v>67047.8</v>
      </c>
      <c r="E10" s="2"/>
      <c r="F10" s="10">
        <v>27.4</v>
      </c>
      <c r="G10" s="10">
        <v>2452</v>
      </c>
      <c r="H10" s="10">
        <f t="shared" si="1"/>
        <v>67184.800000000003</v>
      </c>
      <c r="J10" s="10">
        <v>27.4</v>
      </c>
      <c r="K10" s="10">
        <v>2616</v>
      </c>
      <c r="L10" s="10">
        <f t="shared" si="2"/>
        <v>71678.399999999994</v>
      </c>
      <c r="M10" s="2"/>
      <c r="N10" s="10">
        <v>27.4</v>
      </c>
      <c r="O10" s="10">
        <v>2629</v>
      </c>
      <c r="P10" s="10">
        <f t="shared" si="3"/>
        <v>72034.599999999991</v>
      </c>
      <c r="R10" s="10">
        <v>27.4</v>
      </c>
      <c r="S10" s="10">
        <v>2536</v>
      </c>
      <c r="T10" s="10">
        <f t="shared" si="4"/>
        <v>69486.399999999994</v>
      </c>
    </row>
    <row r="11" spans="1:20" x14ac:dyDescent="0.45">
      <c r="A11" s="2"/>
      <c r="B11" s="10">
        <v>27.6</v>
      </c>
      <c r="C11" s="10">
        <v>2535</v>
      </c>
      <c r="D11" s="10">
        <f t="shared" si="0"/>
        <v>69966</v>
      </c>
      <c r="E11" s="2"/>
      <c r="F11" s="10">
        <v>27.6</v>
      </c>
      <c r="G11" s="10">
        <v>2638</v>
      </c>
      <c r="H11" s="10">
        <f t="shared" si="1"/>
        <v>72808.800000000003</v>
      </c>
      <c r="J11" s="10">
        <v>27.6</v>
      </c>
      <c r="K11" s="10">
        <v>2628</v>
      </c>
      <c r="L11" s="10">
        <f t="shared" si="2"/>
        <v>72532.800000000003</v>
      </c>
      <c r="M11" s="2"/>
      <c r="N11" s="10">
        <v>27.6</v>
      </c>
      <c r="O11" s="10">
        <v>2636</v>
      </c>
      <c r="P11" s="10">
        <f t="shared" si="3"/>
        <v>72753.600000000006</v>
      </c>
      <c r="R11" s="10">
        <v>27.6</v>
      </c>
      <c r="S11" s="10">
        <v>2616</v>
      </c>
      <c r="T11" s="10">
        <f t="shared" si="4"/>
        <v>72201.600000000006</v>
      </c>
    </row>
    <row r="12" spans="1:20" x14ac:dyDescent="0.45">
      <c r="A12" s="2"/>
      <c r="B12" s="10">
        <v>27.8</v>
      </c>
      <c r="C12" s="10">
        <v>2382</v>
      </c>
      <c r="D12" s="10">
        <f t="shared" si="0"/>
        <v>66219.600000000006</v>
      </c>
      <c r="E12" s="2"/>
      <c r="F12" s="10">
        <v>27.8</v>
      </c>
      <c r="G12" s="10">
        <v>2406</v>
      </c>
      <c r="H12" s="10">
        <f t="shared" si="1"/>
        <v>66886.8</v>
      </c>
      <c r="J12" s="10">
        <v>27.8</v>
      </c>
      <c r="K12" s="10">
        <v>2308</v>
      </c>
      <c r="L12" s="10">
        <f t="shared" si="2"/>
        <v>64162.400000000001</v>
      </c>
      <c r="M12" s="2"/>
      <c r="N12" s="10">
        <v>27.8</v>
      </c>
      <c r="O12" s="10">
        <v>2424</v>
      </c>
      <c r="P12" s="10">
        <f t="shared" si="3"/>
        <v>67387.199999999997</v>
      </c>
      <c r="R12" s="10">
        <v>27.8</v>
      </c>
      <c r="S12" s="10">
        <v>2328</v>
      </c>
      <c r="T12" s="10">
        <f t="shared" si="4"/>
        <v>64718.400000000001</v>
      </c>
    </row>
    <row r="13" spans="1:20" x14ac:dyDescent="0.45">
      <c r="A13" s="2"/>
      <c r="B13" s="10">
        <v>28</v>
      </c>
      <c r="C13" s="10">
        <v>1273</v>
      </c>
      <c r="D13" s="10">
        <f t="shared" si="0"/>
        <v>35644</v>
      </c>
      <c r="E13" s="2"/>
      <c r="F13" s="10">
        <v>28</v>
      </c>
      <c r="G13" s="10">
        <v>1180</v>
      </c>
      <c r="H13" s="10">
        <f t="shared" si="1"/>
        <v>33040</v>
      </c>
      <c r="J13" s="10">
        <v>28</v>
      </c>
      <c r="K13" s="10">
        <v>1195</v>
      </c>
      <c r="L13" s="10">
        <f t="shared" si="2"/>
        <v>33460</v>
      </c>
      <c r="M13" s="2"/>
      <c r="N13" s="10">
        <v>28</v>
      </c>
      <c r="O13" s="10">
        <v>1139</v>
      </c>
      <c r="P13" s="10">
        <f t="shared" si="3"/>
        <v>31892</v>
      </c>
      <c r="R13" s="10">
        <v>28</v>
      </c>
      <c r="S13" s="10">
        <v>1287</v>
      </c>
      <c r="T13" s="10">
        <f t="shared" si="4"/>
        <v>36036</v>
      </c>
    </row>
    <row r="14" spans="1:20" x14ac:dyDescent="0.45">
      <c r="A14" s="2"/>
      <c r="B14" s="10">
        <v>28.2</v>
      </c>
      <c r="C14" s="10">
        <v>560</v>
      </c>
      <c r="D14" s="10">
        <f t="shared" si="0"/>
        <v>15792</v>
      </c>
      <c r="E14" s="2"/>
      <c r="F14" s="10">
        <v>28.2</v>
      </c>
      <c r="G14" s="10">
        <v>533</v>
      </c>
      <c r="H14" s="10">
        <f t="shared" si="1"/>
        <v>15030.6</v>
      </c>
      <c r="J14" s="10">
        <v>28.2</v>
      </c>
      <c r="K14" s="10">
        <v>595</v>
      </c>
      <c r="L14" s="10">
        <f t="shared" si="2"/>
        <v>16779</v>
      </c>
      <c r="M14" s="2"/>
      <c r="N14" s="10">
        <v>28.2</v>
      </c>
      <c r="O14" s="10">
        <v>517</v>
      </c>
      <c r="P14" s="10">
        <f t="shared" si="3"/>
        <v>14579.4</v>
      </c>
      <c r="R14" s="10">
        <v>28.2</v>
      </c>
      <c r="S14" s="10">
        <v>596</v>
      </c>
      <c r="T14" s="10">
        <f t="shared" si="4"/>
        <v>16807.2</v>
      </c>
    </row>
    <row r="15" spans="1:20" x14ac:dyDescent="0.45">
      <c r="A15" s="2"/>
      <c r="B15" s="10">
        <v>28.4</v>
      </c>
      <c r="C15" s="10">
        <v>241</v>
      </c>
      <c r="D15" s="10">
        <f t="shared" si="0"/>
        <v>6844.4</v>
      </c>
      <c r="E15" s="2"/>
      <c r="F15" s="10">
        <v>28.4</v>
      </c>
      <c r="G15" s="10">
        <v>281</v>
      </c>
      <c r="H15" s="10">
        <f t="shared" si="1"/>
        <v>7980.4</v>
      </c>
      <c r="J15" s="10">
        <v>28.4</v>
      </c>
      <c r="K15" s="10">
        <v>251</v>
      </c>
      <c r="L15" s="10">
        <f t="shared" si="2"/>
        <v>7128.4</v>
      </c>
      <c r="M15" s="2"/>
      <c r="N15" s="10">
        <v>28.4</v>
      </c>
      <c r="O15" s="10">
        <v>245</v>
      </c>
      <c r="P15" s="10">
        <f t="shared" si="3"/>
        <v>6958</v>
      </c>
      <c r="R15" s="10">
        <v>28.4</v>
      </c>
      <c r="S15" s="10">
        <v>296</v>
      </c>
      <c r="T15" s="10">
        <f t="shared" si="4"/>
        <v>8406.4</v>
      </c>
    </row>
    <row r="16" spans="1:20" x14ac:dyDescent="0.45">
      <c r="A16" s="2"/>
      <c r="B16" s="10">
        <v>28.6</v>
      </c>
      <c r="C16" s="10">
        <v>143</v>
      </c>
      <c r="D16" s="10">
        <f t="shared" si="0"/>
        <v>4089.8</v>
      </c>
      <c r="E16" s="2"/>
      <c r="F16" s="10">
        <v>28.6</v>
      </c>
      <c r="G16" s="10">
        <v>131</v>
      </c>
      <c r="H16" s="10">
        <f t="shared" si="1"/>
        <v>3746.6000000000004</v>
      </c>
      <c r="J16" s="10">
        <v>28.6</v>
      </c>
      <c r="K16" s="10">
        <v>122</v>
      </c>
      <c r="L16" s="10">
        <f t="shared" si="2"/>
        <v>3489.2000000000003</v>
      </c>
      <c r="M16" s="2"/>
      <c r="N16" s="10">
        <v>28.6</v>
      </c>
      <c r="O16" s="10">
        <v>129</v>
      </c>
      <c r="P16" s="10">
        <f t="shared" si="3"/>
        <v>3689.4</v>
      </c>
      <c r="R16" s="10">
        <v>28.6</v>
      </c>
      <c r="S16" s="10">
        <v>160</v>
      </c>
      <c r="T16" s="10">
        <f t="shared" si="4"/>
        <v>4576</v>
      </c>
    </row>
    <row r="17" spans="1:20" x14ac:dyDescent="0.45">
      <c r="A17" s="2"/>
      <c r="B17" s="10">
        <v>28.8</v>
      </c>
      <c r="C17" s="10">
        <v>90</v>
      </c>
      <c r="D17" s="10">
        <f t="shared" si="0"/>
        <v>2592</v>
      </c>
      <c r="E17" s="2"/>
      <c r="F17" s="10">
        <v>28.8</v>
      </c>
      <c r="G17" s="10">
        <v>66</v>
      </c>
      <c r="H17" s="10">
        <f t="shared" si="1"/>
        <v>1900.8</v>
      </c>
      <c r="J17" s="10">
        <v>28.8</v>
      </c>
      <c r="K17" s="10">
        <v>85</v>
      </c>
      <c r="L17" s="10">
        <f t="shared" si="2"/>
        <v>2448</v>
      </c>
      <c r="M17" s="2"/>
      <c r="N17" s="10">
        <v>28.8</v>
      </c>
      <c r="O17" s="10">
        <v>73</v>
      </c>
      <c r="P17" s="10">
        <f t="shared" si="3"/>
        <v>2102.4</v>
      </c>
      <c r="R17" s="10">
        <v>28.8</v>
      </c>
      <c r="S17" s="10">
        <v>73</v>
      </c>
      <c r="T17" s="10">
        <f t="shared" si="4"/>
        <v>2102.4</v>
      </c>
    </row>
    <row r="18" spans="1:20" x14ac:dyDescent="0.45">
      <c r="A18" s="2"/>
      <c r="B18" s="10">
        <v>29</v>
      </c>
      <c r="C18" s="10">
        <v>68</v>
      </c>
      <c r="D18" s="10">
        <f t="shared" si="0"/>
        <v>1972</v>
      </c>
      <c r="E18" s="2"/>
      <c r="F18" s="10">
        <v>29</v>
      </c>
      <c r="G18" s="10">
        <v>74</v>
      </c>
      <c r="H18" s="10">
        <f t="shared" si="1"/>
        <v>2146</v>
      </c>
      <c r="J18" s="10">
        <v>29</v>
      </c>
      <c r="K18" s="10">
        <v>86</v>
      </c>
      <c r="L18" s="10">
        <f t="shared" si="2"/>
        <v>2494</v>
      </c>
      <c r="M18" s="2"/>
      <c r="N18" s="10">
        <v>29</v>
      </c>
      <c r="O18" s="10">
        <v>72</v>
      </c>
      <c r="P18" s="10">
        <f t="shared" si="3"/>
        <v>2088</v>
      </c>
      <c r="R18" s="10">
        <v>29</v>
      </c>
      <c r="S18" s="10">
        <v>68</v>
      </c>
      <c r="T18" s="10">
        <f t="shared" si="4"/>
        <v>1972</v>
      </c>
    </row>
    <row r="19" spans="1:20" x14ac:dyDescent="0.45">
      <c r="C19" s="11">
        <f>SUM(C5:C18)</f>
        <v>11837</v>
      </c>
      <c r="D19" s="11">
        <f>SUM(D5:D18)</f>
        <v>326828.00000000006</v>
      </c>
      <c r="G19" s="11">
        <f>SUM(G5:G18)</f>
        <v>11955</v>
      </c>
      <c r="H19" s="11">
        <f>SUM(H5:H18)</f>
        <v>329971.59999999998</v>
      </c>
      <c r="K19" s="11">
        <f>SUM(K5:K18)</f>
        <v>12158</v>
      </c>
      <c r="L19" s="11">
        <f>SUM(L5:L18)</f>
        <v>335514.40000000002</v>
      </c>
      <c r="O19" s="11">
        <f>SUM(O5:O18)</f>
        <v>12062</v>
      </c>
      <c r="P19" s="11">
        <f>SUM(P5:P18)</f>
        <v>332846.00000000006</v>
      </c>
      <c r="S19" s="11">
        <f>SUM(S5:S18)</f>
        <v>12149</v>
      </c>
      <c r="T19" s="11">
        <f>SUM(T5:T18)</f>
        <v>335431.80000000005</v>
      </c>
    </row>
    <row r="20" spans="1:20" x14ac:dyDescent="0.45">
      <c r="A20" s="12" t="s">
        <v>13</v>
      </c>
      <c r="D20" s="11">
        <f>D19/C19</f>
        <v>27.610712173692665</v>
      </c>
      <c r="H20" s="11">
        <f>H19/G19</f>
        <v>27.601137599330823</v>
      </c>
      <c r="L20" s="11">
        <f>L19/K19</f>
        <v>27.596183582826125</v>
      </c>
      <c r="P20" s="11">
        <f>P19/O19</f>
        <v>27.5945945945946</v>
      </c>
      <c r="T20" s="11">
        <f>T19/S19</f>
        <v>27.609827969380198</v>
      </c>
    </row>
    <row r="21" spans="1:20" x14ac:dyDescent="0.45">
      <c r="A21" s="12" t="s">
        <v>14</v>
      </c>
      <c r="D21" s="11">
        <f>RADIANS(D20/2)</f>
        <v>0.24094891812570873</v>
      </c>
      <c r="H21" s="11">
        <f>RADIANS(H20/2)</f>
        <v>0.24086536420216315</v>
      </c>
      <c r="L21" s="11">
        <f>RADIANS(L20/2)</f>
        <v>0.24082213225256058</v>
      </c>
      <c r="P21" s="11">
        <f>RADIANS(P20/2)</f>
        <v>0.24080826571435282</v>
      </c>
      <c r="T21" s="11">
        <f>RADIANS(T20/2)</f>
        <v>0.24094120198745231</v>
      </c>
    </row>
    <row r="24" spans="1:20" x14ac:dyDescent="0.45">
      <c r="A24" s="12" t="s">
        <v>15</v>
      </c>
      <c r="C24" s="11">
        <f>SUM(D21+H21+L21+P21+T21)/5</f>
        <v>0.24087717645644754</v>
      </c>
      <c r="F24" s="12" t="s">
        <v>16</v>
      </c>
      <c r="G24" s="11">
        <v>1.5406000000000001E-10</v>
      </c>
    </row>
    <row r="26" spans="1:20" x14ac:dyDescent="0.45">
      <c r="A26" s="12" t="s">
        <v>17</v>
      </c>
      <c r="C26" s="11">
        <f>(1*G24)/(2*SIN(C24))</f>
        <v>3.229030578032861E-10</v>
      </c>
    </row>
    <row r="27" spans="1:20" x14ac:dyDescent="0.45">
      <c r="A27" s="12" t="s">
        <v>18</v>
      </c>
    </row>
  </sheetData>
  <mergeCells count="6">
    <mergeCell ref="F2:G2"/>
    <mergeCell ref="J2:K2"/>
    <mergeCell ref="N2:O2"/>
    <mergeCell ref="R2:S2"/>
    <mergeCell ref="B1:T1"/>
    <mergeCell ref="B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30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  <col min="2" max="2" width="16" customWidth="1"/>
    <col min="3" max="3" width="20" customWidth="1"/>
    <col min="4" max="4" width="18" customWidth="1"/>
    <col min="5" max="5" width="2" customWidth="1"/>
    <col min="6" max="6" width="16" customWidth="1"/>
    <col min="7" max="7" width="20" customWidth="1"/>
    <col min="8" max="8" width="18" customWidth="1"/>
    <col min="9" max="9" width="2" customWidth="1"/>
    <col min="10" max="10" width="16" customWidth="1"/>
    <col min="11" max="11" width="20" customWidth="1"/>
    <col min="12" max="12" width="18" customWidth="1"/>
    <col min="13" max="13" width="2" customWidth="1"/>
    <col min="14" max="14" width="16" customWidth="1"/>
    <col min="15" max="15" width="20" customWidth="1"/>
    <col min="16" max="16" width="18" customWidth="1"/>
    <col min="17" max="17" width="2" customWidth="1"/>
    <col min="18" max="18" width="16" customWidth="1"/>
    <col min="19" max="19" width="20" customWidth="1"/>
    <col min="20" max="20" width="18" customWidth="1"/>
  </cols>
  <sheetData>
    <row r="1" spans="1:20" ht="30" customHeight="1" x14ac:dyDescent="0.45">
      <c r="A1" s="4"/>
      <c r="B1" s="20" t="s">
        <v>20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</row>
    <row r="2" spans="1:20" ht="22.05" customHeight="1" x14ac:dyDescent="0.45">
      <c r="A2" s="5"/>
      <c r="B2" s="15" t="s">
        <v>6</v>
      </c>
      <c r="C2" s="21"/>
      <c r="D2" s="16"/>
      <c r="F2" s="15" t="s">
        <v>7</v>
      </c>
      <c r="G2" s="16"/>
      <c r="J2" s="17" t="s">
        <v>8</v>
      </c>
      <c r="K2" s="14"/>
      <c r="M2" s="5"/>
      <c r="N2" s="18" t="s">
        <v>9</v>
      </c>
      <c r="O2" s="19"/>
      <c r="R2" s="18" t="s">
        <v>10</v>
      </c>
      <c r="S2" s="19"/>
    </row>
    <row r="3" spans="1:20" ht="30" customHeight="1" x14ac:dyDescent="0.45">
      <c r="A3" s="1"/>
      <c r="B3" s="6" t="s">
        <v>1</v>
      </c>
      <c r="C3" s="6" t="s">
        <v>2</v>
      </c>
      <c r="D3" s="6" t="s">
        <v>11</v>
      </c>
      <c r="E3" s="3"/>
      <c r="F3" s="7" t="s">
        <v>1</v>
      </c>
      <c r="G3" s="7" t="s">
        <v>2</v>
      </c>
      <c r="H3" s="7" t="s">
        <v>11</v>
      </c>
      <c r="J3" s="6" t="s">
        <v>1</v>
      </c>
      <c r="K3" s="6" t="s">
        <v>2</v>
      </c>
      <c r="L3" s="6" t="s">
        <v>11</v>
      </c>
      <c r="M3" s="1"/>
      <c r="N3" s="7" t="s">
        <v>1</v>
      </c>
      <c r="O3" s="7" t="s">
        <v>2</v>
      </c>
      <c r="P3" s="7" t="s">
        <v>11</v>
      </c>
      <c r="R3" s="6" t="s">
        <v>1</v>
      </c>
      <c r="S3" s="6" t="s">
        <v>2</v>
      </c>
      <c r="T3" s="6" t="s">
        <v>11</v>
      </c>
    </row>
    <row r="4" spans="1:20" x14ac:dyDescent="0.45">
      <c r="A4" s="2"/>
      <c r="B4" s="8" t="s">
        <v>12</v>
      </c>
      <c r="C4" s="8" t="s">
        <v>4</v>
      </c>
      <c r="D4" s="8"/>
      <c r="E4" s="2"/>
      <c r="F4" s="9" t="s">
        <v>12</v>
      </c>
      <c r="G4" s="9" t="s">
        <v>4</v>
      </c>
      <c r="H4" s="9"/>
      <c r="J4" s="8" t="s">
        <v>12</v>
      </c>
      <c r="K4" s="8" t="s">
        <v>4</v>
      </c>
      <c r="L4" s="8"/>
      <c r="M4" s="2"/>
      <c r="N4" s="9" t="s">
        <v>12</v>
      </c>
      <c r="O4" s="9" t="s">
        <v>4</v>
      </c>
      <c r="P4" s="9"/>
      <c r="R4" s="8" t="s">
        <v>12</v>
      </c>
      <c r="S4" s="8" t="s">
        <v>4</v>
      </c>
      <c r="T4" s="8"/>
    </row>
    <row r="5" spans="1:20" x14ac:dyDescent="0.45">
      <c r="A5" s="2"/>
      <c r="B5" s="10">
        <v>48.8</v>
      </c>
      <c r="C5" s="10">
        <v>49</v>
      </c>
      <c r="D5" s="10">
        <f t="shared" ref="D5:D21" si="0">B5*C5</f>
        <v>2391.1999999999998</v>
      </c>
      <c r="E5" s="2"/>
      <c r="F5" s="10">
        <v>48.8</v>
      </c>
      <c r="G5" s="10">
        <v>33</v>
      </c>
      <c r="H5" s="10">
        <f t="shared" ref="H5:H21" si="1">F5*G5</f>
        <v>1610.3999999999999</v>
      </c>
      <c r="J5" s="10">
        <v>48.8</v>
      </c>
      <c r="K5" s="10">
        <v>28</v>
      </c>
      <c r="L5" s="10">
        <f t="shared" ref="L5:L21" si="2">J5*K5</f>
        <v>1366.3999999999999</v>
      </c>
      <c r="M5" s="2"/>
      <c r="N5" s="10">
        <v>48.8</v>
      </c>
      <c r="O5" s="10">
        <v>38</v>
      </c>
      <c r="P5" s="10">
        <f t="shared" ref="P5:P21" si="3">N5*O5</f>
        <v>1854.3999999999999</v>
      </c>
      <c r="R5" s="10">
        <v>48.8</v>
      </c>
      <c r="S5" s="10">
        <v>29</v>
      </c>
      <c r="T5" s="10">
        <f t="shared" ref="T5:T21" si="4">R5*S5</f>
        <v>1415.1999999999998</v>
      </c>
    </row>
    <row r="6" spans="1:20" x14ac:dyDescent="0.45">
      <c r="A6" s="2"/>
      <c r="B6" s="10">
        <v>49</v>
      </c>
      <c r="C6" s="10">
        <v>36</v>
      </c>
      <c r="D6" s="10">
        <f t="shared" si="0"/>
        <v>1764</v>
      </c>
      <c r="E6" s="2"/>
      <c r="F6" s="10">
        <v>49</v>
      </c>
      <c r="G6" s="10">
        <v>47</v>
      </c>
      <c r="H6" s="10">
        <f t="shared" si="1"/>
        <v>2303</v>
      </c>
      <c r="J6" s="10">
        <v>49</v>
      </c>
      <c r="K6" s="10">
        <v>43</v>
      </c>
      <c r="L6" s="10">
        <f t="shared" si="2"/>
        <v>2107</v>
      </c>
      <c r="M6" s="2"/>
      <c r="N6" s="10">
        <v>49</v>
      </c>
      <c r="O6" s="10">
        <v>36</v>
      </c>
      <c r="P6" s="10">
        <f t="shared" si="3"/>
        <v>1764</v>
      </c>
      <c r="R6" s="10">
        <v>49</v>
      </c>
      <c r="S6" s="10">
        <v>30</v>
      </c>
      <c r="T6" s="10">
        <f t="shared" si="4"/>
        <v>1470</v>
      </c>
    </row>
    <row r="7" spans="1:20" x14ac:dyDescent="0.45">
      <c r="A7" s="2"/>
      <c r="B7" s="10">
        <v>49.2</v>
      </c>
      <c r="C7" s="10">
        <v>46</v>
      </c>
      <c r="D7" s="10">
        <f t="shared" si="0"/>
        <v>2263.2000000000003</v>
      </c>
      <c r="E7" s="2"/>
      <c r="F7" s="10">
        <v>49.2</v>
      </c>
      <c r="G7" s="10">
        <v>43</v>
      </c>
      <c r="H7" s="10">
        <f t="shared" si="1"/>
        <v>2115.6</v>
      </c>
      <c r="J7" s="10">
        <v>49.2</v>
      </c>
      <c r="K7" s="10">
        <v>49</v>
      </c>
      <c r="L7" s="10">
        <f t="shared" si="2"/>
        <v>2410.8000000000002</v>
      </c>
      <c r="M7" s="2"/>
      <c r="N7" s="10">
        <v>49.2</v>
      </c>
      <c r="O7" s="10">
        <v>48</v>
      </c>
      <c r="P7" s="10">
        <f t="shared" si="3"/>
        <v>2361.6000000000004</v>
      </c>
      <c r="R7" s="10">
        <v>49.2</v>
      </c>
      <c r="S7" s="10">
        <v>43</v>
      </c>
      <c r="T7" s="10">
        <f t="shared" si="4"/>
        <v>2115.6</v>
      </c>
    </row>
    <row r="8" spans="1:20" x14ac:dyDescent="0.45">
      <c r="A8" s="2"/>
      <c r="B8" s="10">
        <v>49.4</v>
      </c>
      <c r="C8" s="10">
        <v>50</v>
      </c>
      <c r="D8" s="10">
        <f t="shared" si="0"/>
        <v>2470</v>
      </c>
      <c r="E8" s="2"/>
      <c r="F8" s="10">
        <v>49.4</v>
      </c>
      <c r="G8" s="10">
        <v>52</v>
      </c>
      <c r="H8" s="10">
        <f t="shared" si="1"/>
        <v>2568.7999999999997</v>
      </c>
      <c r="J8" s="10">
        <v>49.4</v>
      </c>
      <c r="K8" s="10">
        <v>52</v>
      </c>
      <c r="L8" s="10">
        <f t="shared" si="2"/>
        <v>2568.7999999999997</v>
      </c>
      <c r="M8" s="2"/>
      <c r="N8" s="10">
        <v>49.4</v>
      </c>
      <c r="O8" s="10">
        <v>62</v>
      </c>
      <c r="P8" s="10">
        <f t="shared" si="3"/>
        <v>3062.7999999999997</v>
      </c>
      <c r="R8" s="10">
        <v>49.4</v>
      </c>
      <c r="S8" s="10">
        <v>49</v>
      </c>
      <c r="T8" s="10">
        <f t="shared" si="4"/>
        <v>2420.6</v>
      </c>
    </row>
    <row r="9" spans="1:20" x14ac:dyDescent="0.45">
      <c r="A9" s="2"/>
      <c r="B9" s="10">
        <v>49.6</v>
      </c>
      <c r="C9" s="10">
        <v>76</v>
      </c>
      <c r="D9" s="10">
        <f t="shared" si="0"/>
        <v>3769.6</v>
      </c>
      <c r="E9" s="2"/>
      <c r="F9" s="10">
        <v>49.6</v>
      </c>
      <c r="G9" s="10">
        <v>82</v>
      </c>
      <c r="H9" s="10">
        <f t="shared" si="1"/>
        <v>4067.2000000000003</v>
      </c>
      <c r="J9" s="10">
        <v>49.6</v>
      </c>
      <c r="K9" s="10">
        <v>78</v>
      </c>
      <c r="L9" s="10">
        <f t="shared" si="2"/>
        <v>3868.8</v>
      </c>
      <c r="M9" s="2"/>
      <c r="N9" s="10">
        <v>49.6</v>
      </c>
      <c r="O9" s="10">
        <v>73</v>
      </c>
      <c r="P9" s="10">
        <f t="shared" si="3"/>
        <v>3620.8</v>
      </c>
      <c r="R9" s="10">
        <v>49.6</v>
      </c>
      <c r="S9" s="10">
        <v>67</v>
      </c>
      <c r="T9" s="10">
        <f t="shared" si="4"/>
        <v>3323.2000000000003</v>
      </c>
    </row>
    <row r="10" spans="1:20" x14ac:dyDescent="0.45">
      <c r="A10" s="2"/>
      <c r="B10" s="10">
        <v>49.8</v>
      </c>
      <c r="C10" s="10">
        <v>114</v>
      </c>
      <c r="D10" s="10">
        <f t="shared" si="0"/>
        <v>5677.2</v>
      </c>
      <c r="E10" s="2"/>
      <c r="F10" s="10">
        <v>49.8</v>
      </c>
      <c r="G10" s="10">
        <v>114</v>
      </c>
      <c r="H10" s="10">
        <f t="shared" si="1"/>
        <v>5677.2</v>
      </c>
      <c r="J10" s="10">
        <v>49.8</v>
      </c>
      <c r="K10" s="10">
        <v>88</v>
      </c>
      <c r="L10" s="10">
        <f t="shared" si="2"/>
        <v>4382.3999999999996</v>
      </c>
      <c r="M10" s="2"/>
      <c r="N10" s="10">
        <v>49.8</v>
      </c>
      <c r="O10" s="10">
        <v>95</v>
      </c>
      <c r="P10" s="10">
        <f t="shared" si="3"/>
        <v>4731</v>
      </c>
      <c r="R10" s="10">
        <v>49.8</v>
      </c>
      <c r="S10" s="10">
        <v>98</v>
      </c>
      <c r="T10" s="10">
        <f t="shared" si="4"/>
        <v>4880.3999999999996</v>
      </c>
    </row>
    <row r="11" spans="1:20" x14ac:dyDescent="0.45">
      <c r="A11" s="2"/>
      <c r="B11" s="10">
        <v>50</v>
      </c>
      <c r="C11" s="10">
        <v>210</v>
      </c>
      <c r="D11" s="10">
        <f t="shared" si="0"/>
        <v>10500</v>
      </c>
      <c r="E11" s="2"/>
      <c r="F11" s="10">
        <v>50</v>
      </c>
      <c r="G11" s="10">
        <v>216</v>
      </c>
      <c r="H11" s="10">
        <f t="shared" si="1"/>
        <v>10800</v>
      </c>
      <c r="J11" s="10">
        <v>50</v>
      </c>
      <c r="K11" s="10">
        <v>246</v>
      </c>
      <c r="L11" s="10">
        <f t="shared" si="2"/>
        <v>12300</v>
      </c>
      <c r="M11" s="2"/>
      <c r="N11" s="10">
        <v>50</v>
      </c>
      <c r="O11" s="10">
        <v>217</v>
      </c>
      <c r="P11" s="10">
        <f t="shared" si="3"/>
        <v>10850</v>
      </c>
      <c r="R11" s="10">
        <v>50</v>
      </c>
      <c r="S11" s="10">
        <v>215</v>
      </c>
      <c r="T11" s="10">
        <f t="shared" si="4"/>
        <v>10750</v>
      </c>
    </row>
    <row r="12" spans="1:20" x14ac:dyDescent="0.45">
      <c r="A12" s="2"/>
      <c r="B12" s="10">
        <v>50.2</v>
      </c>
      <c r="C12" s="10">
        <v>237</v>
      </c>
      <c r="D12" s="10">
        <f t="shared" si="0"/>
        <v>11897.400000000001</v>
      </c>
      <c r="E12" s="2"/>
      <c r="F12" s="10">
        <v>50.2</v>
      </c>
      <c r="G12" s="10">
        <v>209</v>
      </c>
      <c r="H12" s="10">
        <f t="shared" si="1"/>
        <v>10491.800000000001</v>
      </c>
      <c r="J12" s="10">
        <v>50.2</v>
      </c>
      <c r="K12" s="10">
        <v>231</v>
      </c>
      <c r="L12" s="10">
        <f t="shared" si="2"/>
        <v>11596.2</v>
      </c>
      <c r="M12" s="2"/>
      <c r="N12" s="10">
        <v>50.2</v>
      </c>
      <c r="O12" s="10">
        <v>206</v>
      </c>
      <c r="P12" s="10">
        <f t="shared" si="3"/>
        <v>10341.200000000001</v>
      </c>
      <c r="R12" s="10">
        <v>50.2</v>
      </c>
      <c r="S12" s="10">
        <v>221</v>
      </c>
      <c r="T12" s="10">
        <f t="shared" si="4"/>
        <v>11094.2</v>
      </c>
    </row>
    <row r="13" spans="1:20" x14ac:dyDescent="0.45">
      <c r="A13" s="2"/>
      <c r="B13" s="10">
        <v>50.4</v>
      </c>
      <c r="C13" s="10">
        <v>173</v>
      </c>
      <c r="D13" s="10">
        <f t="shared" si="0"/>
        <v>8719.1999999999989</v>
      </c>
      <c r="E13" s="2"/>
      <c r="F13" s="10">
        <v>50.4</v>
      </c>
      <c r="G13" s="10">
        <v>170</v>
      </c>
      <c r="H13" s="10">
        <f t="shared" si="1"/>
        <v>8568</v>
      </c>
      <c r="J13" s="10">
        <v>50.4</v>
      </c>
      <c r="K13" s="10">
        <v>165</v>
      </c>
      <c r="L13" s="10">
        <f t="shared" si="2"/>
        <v>8316</v>
      </c>
      <c r="M13" s="2"/>
      <c r="N13" s="10">
        <v>50.4</v>
      </c>
      <c r="O13" s="10">
        <v>154</v>
      </c>
      <c r="P13" s="10">
        <f t="shared" si="3"/>
        <v>7761.5999999999995</v>
      </c>
      <c r="R13" s="10">
        <v>50.4</v>
      </c>
      <c r="S13" s="10">
        <v>156</v>
      </c>
      <c r="T13" s="10">
        <f t="shared" si="4"/>
        <v>7862.4</v>
      </c>
    </row>
    <row r="14" spans="1:20" x14ac:dyDescent="0.45">
      <c r="A14" s="2"/>
      <c r="B14" s="10">
        <v>50.6</v>
      </c>
      <c r="C14" s="10">
        <v>95</v>
      </c>
      <c r="D14" s="10">
        <f t="shared" si="0"/>
        <v>4807</v>
      </c>
      <c r="E14" s="2"/>
      <c r="F14" s="10">
        <v>50.6</v>
      </c>
      <c r="G14" s="10">
        <v>88</v>
      </c>
      <c r="H14" s="10">
        <f t="shared" si="1"/>
        <v>4452.8</v>
      </c>
      <c r="J14" s="10">
        <v>50.6</v>
      </c>
      <c r="K14" s="10">
        <v>94</v>
      </c>
      <c r="L14" s="10">
        <f t="shared" si="2"/>
        <v>4756.4000000000005</v>
      </c>
      <c r="M14" s="2"/>
      <c r="N14" s="10">
        <v>50.6</v>
      </c>
      <c r="O14" s="10">
        <v>114</v>
      </c>
      <c r="P14" s="10">
        <f t="shared" si="3"/>
        <v>5768.4000000000005</v>
      </c>
      <c r="R14" s="10">
        <v>50.6</v>
      </c>
      <c r="S14" s="10">
        <v>115</v>
      </c>
      <c r="T14" s="10">
        <f t="shared" si="4"/>
        <v>5819</v>
      </c>
    </row>
    <row r="15" spans="1:20" x14ac:dyDescent="0.45">
      <c r="A15" s="2"/>
      <c r="B15" s="10">
        <v>50.8</v>
      </c>
      <c r="C15" s="10">
        <v>68</v>
      </c>
      <c r="D15" s="10">
        <f t="shared" si="0"/>
        <v>3454.3999999999996</v>
      </c>
      <c r="E15" s="2"/>
      <c r="F15" s="10">
        <v>50.8</v>
      </c>
      <c r="G15" s="10">
        <v>51</v>
      </c>
      <c r="H15" s="10">
        <f t="shared" si="1"/>
        <v>2590.7999999999997</v>
      </c>
      <c r="J15" s="10">
        <v>50.8</v>
      </c>
      <c r="K15" s="10">
        <v>54</v>
      </c>
      <c r="L15" s="10">
        <f t="shared" si="2"/>
        <v>2743.2</v>
      </c>
      <c r="M15" s="2"/>
      <c r="N15" s="10">
        <v>50.8</v>
      </c>
      <c r="O15" s="10">
        <v>63</v>
      </c>
      <c r="P15" s="10">
        <f t="shared" si="3"/>
        <v>3200.3999999999996</v>
      </c>
      <c r="R15" s="10">
        <v>50.8</v>
      </c>
      <c r="S15" s="10">
        <v>63</v>
      </c>
      <c r="T15" s="10">
        <f t="shared" si="4"/>
        <v>3200.3999999999996</v>
      </c>
    </row>
    <row r="16" spans="1:20" x14ac:dyDescent="0.45">
      <c r="A16" s="2"/>
      <c r="B16" s="10">
        <v>51</v>
      </c>
      <c r="C16" s="10">
        <v>46</v>
      </c>
      <c r="D16" s="10">
        <f t="shared" si="0"/>
        <v>2346</v>
      </c>
      <c r="E16" s="2"/>
      <c r="F16" s="10">
        <v>51</v>
      </c>
      <c r="G16" s="10">
        <v>50</v>
      </c>
      <c r="H16" s="10">
        <f t="shared" si="1"/>
        <v>2550</v>
      </c>
      <c r="J16" s="10">
        <v>51</v>
      </c>
      <c r="K16" s="10">
        <v>45</v>
      </c>
      <c r="L16" s="10">
        <f t="shared" si="2"/>
        <v>2295</v>
      </c>
      <c r="M16" s="2"/>
      <c r="N16" s="10">
        <v>51</v>
      </c>
      <c r="O16" s="10">
        <v>60</v>
      </c>
      <c r="P16" s="10">
        <f t="shared" si="3"/>
        <v>3060</v>
      </c>
      <c r="R16" s="10">
        <v>51</v>
      </c>
      <c r="S16" s="10">
        <v>58</v>
      </c>
      <c r="T16" s="10">
        <f t="shared" si="4"/>
        <v>2958</v>
      </c>
    </row>
    <row r="17" spans="1:20" x14ac:dyDescent="0.45">
      <c r="A17" s="2"/>
      <c r="B17" s="10">
        <v>51.2</v>
      </c>
      <c r="C17" s="10">
        <v>52</v>
      </c>
      <c r="D17" s="10">
        <f t="shared" si="0"/>
        <v>2662.4</v>
      </c>
      <c r="E17" s="2"/>
      <c r="F17" s="10">
        <v>51.2</v>
      </c>
      <c r="G17" s="10">
        <v>49</v>
      </c>
      <c r="H17" s="10">
        <f t="shared" si="1"/>
        <v>2508.8000000000002</v>
      </c>
      <c r="J17" s="10">
        <v>51.2</v>
      </c>
      <c r="K17" s="10">
        <v>50</v>
      </c>
      <c r="L17" s="10">
        <f t="shared" si="2"/>
        <v>2560</v>
      </c>
      <c r="M17" s="2"/>
      <c r="N17" s="10">
        <v>51.2</v>
      </c>
      <c r="O17" s="10">
        <v>51</v>
      </c>
      <c r="P17" s="10">
        <f t="shared" si="3"/>
        <v>2611.2000000000003</v>
      </c>
      <c r="R17" s="10">
        <v>51.2</v>
      </c>
      <c r="S17" s="10">
        <v>36</v>
      </c>
      <c r="T17" s="10">
        <f t="shared" si="4"/>
        <v>1843.2</v>
      </c>
    </row>
    <row r="18" spans="1:20" x14ac:dyDescent="0.45">
      <c r="A18" s="2"/>
      <c r="B18" s="10">
        <v>51.4</v>
      </c>
      <c r="C18" s="10">
        <v>50</v>
      </c>
      <c r="D18" s="10">
        <f t="shared" si="0"/>
        <v>2570</v>
      </c>
      <c r="E18" s="2"/>
      <c r="F18" s="10">
        <v>51.4</v>
      </c>
      <c r="G18" s="10">
        <v>54</v>
      </c>
      <c r="H18" s="10">
        <f t="shared" si="1"/>
        <v>2775.6</v>
      </c>
      <c r="J18" s="10">
        <v>51.4</v>
      </c>
      <c r="K18" s="10">
        <v>49</v>
      </c>
      <c r="L18" s="10">
        <f t="shared" si="2"/>
        <v>2518.6</v>
      </c>
      <c r="M18" s="2"/>
      <c r="N18" s="10">
        <v>51.4</v>
      </c>
      <c r="O18" s="10">
        <v>46</v>
      </c>
      <c r="P18" s="10">
        <f t="shared" si="3"/>
        <v>2364.4</v>
      </c>
      <c r="R18" s="10">
        <v>51.4</v>
      </c>
      <c r="S18" s="10">
        <v>32</v>
      </c>
      <c r="T18" s="10">
        <f t="shared" si="4"/>
        <v>1644.8</v>
      </c>
    </row>
    <row r="19" spans="1:20" x14ac:dyDescent="0.45">
      <c r="A19" s="2"/>
      <c r="B19" s="10">
        <v>51.6</v>
      </c>
      <c r="C19" s="10">
        <v>40</v>
      </c>
      <c r="D19" s="10">
        <f t="shared" si="0"/>
        <v>2064</v>
      </c>
      <c r="E19" s="2"/>
      <c r="F19" s="10">
        <v>51.6</v>
      </c>
      <c r="G19" s="10">
        <v>29</v>
      </c>
      <c r="H19" s="10">
        <f t="shared" si="1"/>
        <v>1496.4</v>
      </c>
      <c r="J19" s="10">
        <v>51.6</v>
      </c>
      <c r="K19" s="10">
        <v>44</v>
      </c>
      <c r="L19" s="10">
        <f t="shared" si="2"/>
        <v>2270.4</v>
      </c>
      <c r="M19" s="2"/>
      <c r="N19" s="10">
        <v>51.6</v>
      </c>
      <c r="O19" s="10">
        <v>46</v>
      </c>
      <c r="P19" s="10">
        <f t="shared" si="3"/>
        <v>2373.6</v>
      </c>
      <c r="R19" s="10">
        <v>51.6</v>
      </c>
      <c r="S19" s="10">
        <v>30</v>
      </c>
      <c r="T19" s="10">
        <f t="shared" si="4"/>
        <v>1548</v>
      </c>
    </row>
    <row r="20" spans="1:20" x14ac:dyDescent="0.45">
      <c r="A20" s="2"/>
      <c r="B20" s="10">
        <v>51.8</v>
      </c>
      <c r="C20" s="10">
        <v>38</v>
      </c>
      <c r="D20" s="10">
        <f t="shared" si="0"/>
        <v>1968.3999999999999</v>
      </c>
      <c r="E20" s="2"/>
      <c r="F20" s="10">
        <v>51.8</v>
      </c>
      <c r="G20" s="10">
        <v>31</v>
      </c>
      <c r="H20" s="10">
        <f t="shared" si="1"/>
        <v>1605.8</v>
      </c>
      <c r="J20" s="10">
        <v>51.8</v>
      </c>
      <c r="K20" s="10">
        <v>39</v>
      </c>
      <c r="L20" s="10">
        <f t="shared" si="2"/>
        <v>2020.1999999999998</v>
      </c>
      <c r="M20" s="2"/>
      <c r="N20" s="10">
        <v>51.8</v>
      </c>
      <c r="O20" s="10">
        <v>41</v>
      </c>
      <c r="P20" s="10">
        <f t="shared" si="3"/>
        <v>2123.7999999999997</v>
      </c>
      <c r="R20" s="10">
        <v>51.8</v>
      </c>
      <c r="S20" s="10">
        <v>34</v>
      </c>
      <c r="T20" s="10">
        <f t="shared" si="4"/>
        <v>1761.1999999999998</v>
      </c>
    </row>
    <row r="21" spans="1:20" x14ac:dyDescent="0.45">
      <c r="A21" s="2"/>
      <c r="B21" s="10">
        <v>52</v>
      </c>
      <c r="C21" s="10">
        <v>35</v>
      </c>
      <c r="D21" s="10">
        <f t="shared" si="0"/>
        <v>1820</v>
      </c>
      <c r="E21" s="2"/>
      <c r="F21" s="10">
        <v>52</v>
      </c>
      <c r="G21" s="10">
        <v>45</v>
      </c>
      <c r="H21" s="10">
        <f t="shared" si="1"/>
        <v>2340</v>
      </c>
      <c r="J21" s="10">
        <v>52</v>
      </c>
      <c r="K21" s="10">
        <v>48</v>
      </c>
      <c r="L21" s="10">
        <f t="shared" si="2"/>
        <v>2496</v>
      </c>
      <c r="M21" s="2"/>
      <c r="N21" s="10">
        <v>52</v>
      </c>
      <c r="O21" s="10">
        <v>44</v>
      </c>
      <c r="P21" s="10">
        <f t="shared" si="3"/>
        <v>2288</v>
      </c>
      <c r="R21" s="10">
        <v>52</v>
      </c>
      <c r="S21" s="10">
        <v>34</v>
      </c>
      <c r="T21" s="10">
        <f t="shared" si="4"/>
        <v>1768</v>
      </c>
    </row>
    <row r="22" spans="1:20" x14ac:dyDescent="0.45">
      <c r="C22" s="11">
        <f>SUM(C5:C21)</f>
        <v>1415</v>
      </c>
      <c r="D22" s="11">
        <f>SUM(D5:D21)</f>
        <v>71144</v>
      </c>
      <c r="G22" s="11">
        <f>SUM(G5:G21)</f>
        <v>1363</v>
      </c>
      <c r="H22" s="11">
        <f>SUM(H5:H21)</f>
        <v>68522.200000000012</v>
      </c>
      <c r="K22" s="11">
        <f>SUM(K5:K21)</f>
        <v>1403</v>
      </c>
      <c r="L22" s="11">
        <f>SUM(L5:L21)</f>
        <v>70576.199999999983</v>
      </c>
      <c r="O22" s="11">
        <f>SUM(O5:O21)</f>
        <v>1394</v>
      </c>
      <c r="P22" s="11">
        <f>SUM(P5:P21)</f>
        <v>70137.200000000012</v>
      </c>
      <c r="S22" s="11">
        <f>SUM(S5:S21)</f>
        <v>1310</v>
      </c>
      <c r="T22" s="11">
        <f>SUM(T5:T21)</f>
        <v>65874.2</v>
      </c>
    </row>
    <row r="23" spans="1:20" x14ac:dyDescent="0.45">
      <c r="A23" s="12" t="s">
        <v>13</v>
      </c>
      <c r="D23" s="11">
        <f>D22/C22</f>
        <v>50.278445229681978</v>
      </c>
      <c r="H23" s="11">
        <f>H22/G22</f>
        <v>50.273074101247261</v>
      </c>
      <c r="L23" s="11">
        <f>L22/K22</f>
        <v>50.303777619387013</v>
      </c>
      <c r="P23" s="11">
        <f>P22/O22</f>
        <v>50.313629842180781</v>
      </c>
      <c r="T23" s="11">
        <f>T22/S22</f>
        <v>50.285648854961828</v>
      </c>
    </row>
    <row r="24" spans="1:20" x14ac:dyDescent="0.45">
      <c r="A24" s="12" t="s">
        <v>14</v>
      </c>
      <c r="D24" s="11">
        <f>RADIANS(D23/2)</f>
        <v>0.43876220602079358</v>
      </c>
      <c r="H24" s="11">
        <f>RADIANS(H23/2)</f>
        <v>0.4387153340829269</v>
      </c>
      <c r="L24" s="11">
        <f>RADIANS(L23/2)</f>
        <v>0.43898327282466915</v>
      </c>
      <c r="P24" s="11">
        <f>RADIANS(P23/2)</f>
        <v>0.43906924968786482</v>
      </c>
      <c r="T24" s="11">
        <f>RADIANS(T23/2)</f>
        <v>0.43882506951040018</v>
      </c>
    </row>
    <row r="27" spans="1:20" x14ac:dyDescent="0.45">
      <c r="A27" s="12" t="s">
        <v>15</v>
      </c>
      <c r="C27" s="11">
        <f>SUM(D24+H24+L24+P24+T24)/5</f>
        <v>0.43887102642533093</v>
      </c>
      <c r="F27" s="12" t="s">
        <v>16</v>
      </c>
      <c r="G27" s="11">
        <v>1.3922000000000001E-10</v>
      </c>
    </row>
    <row r="29" spans="1:20" x14ac:dyDescent="0.45">
      <c r="A29" s="12" t="s">
        <v>17</v>
      </c>
      <c r="C29" s="11">
        <f>(2*G27)/(2*SIN(C27))</f>
        <v>3.2763987613828312E-10</v>
      </c>
    </row>
    <row r="30" spans="1:20" x14ac:dyDescent="0.45">
      <c r="A30" s="12" t="s">
        <v>18</v>
      </c>
    </row>
  </sheetData>
  <mergeCells count="6">
    <mergeCell ref="F2:G2"/>
    <mergeCell ref="J2:K2"/>
    <mergeCell ref="N2:O2"/>
    <mergeCell ref="R2:S2"/>
    <mergeCell ref="B1:T1"/>
    <mergeCell ref="B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28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  <col min="2" max="2" width="16" customWidth="1"/>
    <col min="3" max="3" width="20" customWidth="1"/>
    <col min="4" max="4" width="18" customWidth="1"/>
    <col min="5" max="5" width="2" customWidth="1"/>
    <col min="6" max="6" width="16" customWidth="1"/>
    <col min="7" max="7" width="20" customWidth="1"/>
    <col min="8" max="8" width="18" customWidth="1"/>
    <col min="9" max="9" width="2" customWidth="1"/>
    <col min="10" max="10" width="16" customWidth="1"/>
    <col min="11" max="11" width="20" customWidth="1"/>
    <col min="12" max="12" width="18" customWidth="1"/>
    <col min="13" max="13" width="2" customWidth="1"/>
    <col min="14" max="14" width="16" customWidth="1"/>
    <col min="15" max="15" width="20" customWidth="1"/>
    <col min="16" max="16" width="18" customWidth="1"/>
    <col min="17" max="17" width="2" customWidth="1"/>
    <col min="18" max="18" width="16" customWidth="1"/>
    <col min="19" max="19" width="20" customWidth="1"/>
    <col min="20" max="20" width="18" customWidth="1"/>
  </cols>
  <sheetData>
    <row r="1" spans="1:20" ht="30" customHeight="1" x14ac:dyDescent="0.45">
      <c r="A1" s="4"/>
      <c r="B1" s="20" t="s">
        <v>21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</row>
    <row r="2" spans="1:20" ht="22.05" customHeight="1" x14ac:dyDescent="0.45">
      <c r="A2" s="5"/>
      <c r="B2" s="15" t="s">
        <v>6</v>
      </c>
      <c r="C2" s="21"/>
      <c r="D2" s="16"/>
      <c r="F2" s="15" t="s">
        <v>7</v>
      </c>
      <c r="G2" s="16"/>
      <c r="J2" s="17" t="s">
        <v>8</v>
      </c>
      <c r="K2" s="14"/>
      <c r="M2" s="5"/>
      <c r="N2" s="18" t="s">
        <v>9</v>
      </c>
      <c r="O2" s="19"/>
      <c r="R2" s="18" t="s">
        <v>10</v>
      </c>
      <c r="S2" s="19"/>
    </row>
    <row r="3" spans="1:20" ht="30" customHeight="1" x14ac:dyDescent="0.45">
      <c r="A3" s="1"/>
      <c r="B3" s="6" t="s">
        <v>1</v>
      </c>
      <c r="C3" s="6" t="s">
        <v>2</v>
      </c>
      <c r="D3" s="6" t="s">
        <v>11</v>
      </c>
      <c r="E3" s="3"/>
      <c r="F3" s="7" t="s">
        <v>1</v>
      </c>
      <c r="G3" s="7" t="s">
        <v>2</v>
      </c>
      <c r="H3" s="7" t="s">
        <v>11</v>
      </c>
      <c r="J3" s="6" t="s">
        <v>1</v>
      </c>
      <c r="K3" s="6" t="s">
        <v>2</v>
      </c>
      <c r="L3" s="6" t="s">
        <v>11</v>
      </c>
      <c r="M3" s="1"/>
      <c r="N3" s="7" t="s">
        <v>1</v>
      </c>
      <c r="O3" s="7" t="s">
        <v>2</v>
      </c>
      <c r="P3" s="7" t="s">
        <v>11</v>
      </c>
      <c r="R3" s="6" t="s">
        <v>1</v>
      </c>
      <c r="S3" s="6" t="s">
        <v>2</v>
      </c>
      <c r="T3" s="6" t="s">
        <v>11</v>
      </c>
    </row>
    <row r="4" spans="1:20" x14ac:dyDescent="0.45">
      <c r="A4" s="2"/>
      <c r="B4" s="8" t="s">
        <v>12</v>
      </c>
      <c r="C4" s="8" t="s">
        <v>4</v>
      </c>
      <c r="D4" s="8"/>
      <c r="E4" s="2"/>
      <c r="F4" s="9" t="s">
        <v>12</v>
      </c>
      <c r="G4" s="9" t="s">
        <v>4</v>
      </c>
      <c r="H4" s="9"/>
      <c r="J4" s="8" t="s">
        <v>12</v>
      </c>
      <c r="K4" s="8" t="s">
        <v>4</v>
      </c>
      <c r="L4" s="8"/>
      <c r="M4" s="2"/>
      <c r="N4" s="9" t="s">
        <v>12</v>
      </c>
      <c r="O4" s="9" t="s">
        <v>4</v>
      </c>
      <c r="P4" s="9"/>
      <c r="R4" s="8" t="s">
        <v>12</v>
      </c>
      <c r="S4" s="8" t="s">
        <v>4</v>
      </c>
      <c r="T4" s="8"/>
    </row>
    <row r="5" spans="1:20" x14ac:dyDescent="0.45">
      <c r="A5" s="2"/>
      <c r="B5" s="10">
        <v>54.4</v>
      </c>
      <c r="C5" s="10">
        <v>51</v>
      </c>
      <c r="D5" s="10">
        <f t="shared" ref="D5:D19" si="0">B5*C5</f>
        <v>2774.4</v>
      </c>
      <c r="E5" s="2"/>
      <c r="F5" s="10">
        <v>54.4</v>
      </c>
      <c r="G5" s="10">
        <v>63</v>
      </c>
      <c r="H5" s="10">
        <f t="shared" ref="H5:H19" si="1">F5*G5</f>
        <v>3427.2</v>
      </c>
      <c r="J5" s="10">
        <v>54.4</v>
      </c>
      <c r="K5" s="10">
        <v>41</v>
      </c>
      <c r="L5" s="10">
        <f t="shared" ref="L5:L19" si="2">J5*K5</f>
        <v>2230.4</v>
      </c>
      <c r="M5" s="2"/>
      <c r="N5" s="10">
        <v>54.4</v>
      </c>
      <c r="O5" s="10">
        <v>43</v>
      </c>
      <c r="P5" s="10">
        <f t="shared" ref="P5:P19" si="3">N5*O5</f>
        <v>2339.1999999999998</v>
      </c>
      <c r="R5" s="10">
        <v>54.4</v>
      </c>
      <c r="S5" s="10">
        <v>44</v>
      </c>
      <c r="T5" s="10">
        <f t="shared" ref="T5:T19" si="4">R5*S5</f>
        <v>2393.6</v>
      </c>
    </row>
    <row r="6" spans="1:20" x14ac:dyDescent="0.45">
      <c r="A6" s="2"/>
      <c r="B6" s="10">
        <v>54.6</v>
      </c>
      <c r="C6" s="10">
        <v>58</v>
      </c>
      <c r="D6" s="10">
        <f t="shared" si="0"/>
        <v>3166.8</v>
      </c>
      <c r="E6" s="2"/>
      <c r="F6" s="10">
        <v>54.6</v>
      </c>
      <c r="G6" s="10">
        <v>59</v>
      </c>
      <c r="H6" s="10">
        <f t="shared" si="1"/>
        <v>3221.4</v>
      </c>
      <c r="J6" s="10">
        <v>54.6</v>
      </c>
      <c r="K6" s="10">
        <v>59</v>
      </c>
      <c r="L6" s="10">
        <f t="shared" si="2"/>
        <v>3221.4</v>
      </c>
      <c r="M6" s="2"/>
      <c r="N6" s="10">
        <v>54.6</v>
      </c>
      <c r="O6" s="10">
        <v>55</v>
      </c>
      <c r="P6" s="10">
        <f t="shared" si="3"/>
        <v>3003</v>
      </c>
      <c r="R6" s="10">
        <v>54.6</v>
      </c>
      <c r="S6" s="10">
        <v>56</v>
      </c>
      <c r="T6" s="10">
        <f t="shared" si="4"/>
        <v>3057.6</v>
      </c>
    </row>
    <row r="7" spans="1:20" x14ac:dyDescent="0.45">
      <c r="A7" s="2"/>
      <c r="B7" s="10">
        <v>54.8</v>
      </c>
      <c r="C7" s="10">
        <v>76</v>
      </c>
      <c r="D7" s="10">
        <f t="shared" si="0"/>
        <v>4164.8</v>
      </c>
      <c r="E7" s="2"/>
      <c r="F7" s="10">
        <v>54.8</v>
      </c>
      <c r="G7" s="10">
        <v>83</v>
      </c>
      <c r="H7" s="10">
        <f t="shared" si="1"/>
        <v>4548.3999999999996</v>
      </c>
      <c r="J7" s="10">
        <v>54.8</v>
      </c>
      <c r="K7" s="10">
        <v>66</v>
      </c>
      <c r="L7" s="10">
        <f t="shared" si="2"/>
        <v>3616.7999999999997</v>
      </c>
      <c r="M7" s="2"/>
      <c r="N7" s="10">
        <v>54.8</v>
      </c>
      <c r="O7" s="10">
        <v>68</v>
      </c>
      <c r="P7" s="10">
        <f t="shared" si="3"/>
        <v>3726.3999999999996</v>
      </c>
      <c r="R7" s="10">
        <v>54.8</v>
      </c>
      <c r="S7" s="10">
        <v>69</v>
      </c>
      <c r="T7" s="10">
        <f t="shared" si="4"/>
        <v>3781.2</v>
      </c>
    </row>
    <row r="8" spans="1:20" x14ac:dyDescent="0.45">
      <c r="A8" s="2"/>
      <c r="B8" s="10">
        <v>55</v>
      </c>
      <c r="C8" s="10">
        <v>103</v>
      </c>
      <c r="D8" s="10">
        <f t="shared" si="0"/>
        <v>5665</v>
      </c>
      <c r="E8" s="2"/>
      <c r="F8" s="10">
        <v>55</v>
      </c>
      <c r="G8" s="10">
        <v>94</v>
      </c>
      <c r="H8" s="10">
        <f t="shared" si="1"/>
        <v>5170</v>
      </c>
      <c r="J8" s="10">
        <v>55</v>
      </c>
      <c r="K8" s="10">
        <v>115</v>
      </c>
      <c r="L8" s="10">
        <f t="shared" si="2"/>
        <v>6325</v>
      </c>
      <c r="M8" s="2"/>
      <c r="N8" s="10">
        <v>55</v>
      </c>
      <c r="O8" s="10">
        <v>107</v>
      </c>
      <c r="P8" s="10">
        <f t="shared" si="3"/>
        <v>5885</v>
      </c>
      <c r="R8" s="10">
        <v>55</v>
      </c>
      <c r="S8" s="10">
        <v>102</v>
      </c>
      <c r="T8" s="10">
        <f t="shared" si="4"/>
        <v>5610</v>
      </c>
    </row>
    <row r="9" spans="1:20" x14ac:dyDescent="0.45">
      <c r="A9" s="2"/>
      <c r="B9" s="10">
        <v>55.2</v>
      </c>
      <c r="C9" s="10">
        <v>145</v>
      </c>
      <c r="D9" s="10">
        <f t="shared" si="0"/>
        <v>8004</v>
      </c>
      <c r="E9" s="2"/>
      <c r="F9" s="10">
        <v>55.2</v>
      </c>
      <c r="G9" s="10">
        <v>140</v>
      </c>
      <c r="H9" s="10">
        <f t="shared" si="1"/>
        <v>7728</v>
      </c>
      <c r="J9" s="10">
        <v>55.2</v>
      </c>
      <c r="K9" s="10">
        <v>135</v>
      </c>
      <c r="L9" s="10">
        <f t="shared" si="2"/>
        <v>7452</v>
      </c>
      <c r="M9" s="2"/>
      <c r="N9" s="10">
        <v>55.2</v>
      </c>
      <c r="O9" s="10">
        <v>147</v>
      </c>
      <c r="P9" s="10">
        <f t="shared" si="3"/>
        <v>8114.4000000000005</v>
      </c>
      <c r="R9" s="10">
        <v>55.2</v>
      </c>
      <c r="S9" s="10">
        <v>144</v>
      </c>
      <c r="T9" s="10">
        <f t="shared" si="4"/>
        <v>7948.8</v>
      </c>
    </row>
    <row r="10" spans="1:20" x14ac:dyDescent="0.45">
      <c r="A10" s="2"/>
      <c r="B10" s="10">
        <v>55.4</v>
      </c>
      <c r="C10" s="10">
        <v>226</v>
      </c>
      <c r="D10" s="10">
        <f t="shared" si="0"/>
        <v>12520.4</v>
      </c>
      <c r="E10" s="2"/>
      <c r="F10" s="10">
        <v>55.4</v>
      </c>
      <c r="G10" s="10">
        <v>212</v>
      </c>
      <c r="H10" s="10">
        <f t="shared" si="1"/>
        <v>11744.8</v>
      </c>
      <c r="J10" s="10">
        <v>55.4</v>
      </c>
      <c r="K10" s="10">
        <v>214</v>
      </c>
      <c r="L10" s="10">
        <f t="shared" si="2"/>
        <v>11855.6</v>
      </c>
      <c r="M10" s="2"/>
      <c r="N10" s="10">
        <v>55.4</v>
      </c>
      <c r="O10" s="10">
        <v>228</v>
      </c>
      <c r="P10" s="10">
        <f t="shared" si="3"/>
        <v>12631.199999999999</v>
      </c>
      <c r="R10" s="10">
        <v>55.4</v>
      </c>
      <c r="S10" s="10">
        <v>244</v>
      </c>
      <c r="T10" s="10">
        <f t="shared" si="4"/>
        <v>13517.6</v>
      </c>
    </row>
    <row r="11" spans="1:20" x14ac:dyDescent="0.45">
      <c r="A11" s="2"/>
      <c r="B11" s="10">
        <v>55.6</v>
      </c>
      <c r="C11" s="10">
        <v>487</v>
      </c>
      <c r="D11" s="10">
        <f t="shared" si="0"/>
        <v>27077.200000000001</v>
      </c>
      <c r="E11" s="2"/>
      <c r="F11" s="10">
        <v>55.6</v>
      </c>
      <c r="G11" s="10">
        <v>496</v>
      </c>
      <c r="H11" s="10">
        <f t="shared" si="1"/>
        <v>27577.600000000002</v>
      </c>
      <c r="J11" s="10">
        <v>55.6</v>
      </c>
      <c r="K11" s="10">
        <v>510</v>
      </c>
      <c r="L11" s="10">
        <f t="shared" si="2"/>
        <v>28356</v>
      </c>
      <c r="M11" s="2"/>
      <c r="N11" s="10">
        <v>55.6</v>
      </c>
      <c r="O11" s="10">
        <v>502</v>
      </c>
      <c r="P11" s="10">
        <f t="shared" si="3"/>
        <v>27911.200000000001</v>
      </c>
      <c r="R11" s="10">
        <v>55.6</v>
      </c>
      <c r="S11" s="10">
        <v>505</v>
      </c>
      <c r="T11" s="10">
        <f t="shared" si="4"/>
        <v>28078</v>
      </c>
    </row>
    <row r="12" spans="1:20" x14ac:dyDescent="0.45">
      <c r="A12" s="2"/>
      <c r="B12" s="10">
        <v>55.8</v>
      </c>
      <c r="C12" s="10">
        <v>927</v>
      </c>
      <c r="D12" s="10">
        <f t="shared" si="0"/>
        <v>51726.6</v>
      </c>
      <c r="E12" s="2"/>
      <c r="F12" s="10">
        <v>55.8</v>
      </c>
      <c r="G12" s="10">
        <v>899</v>
      </c>
      <c r="H12" s="10">
        <f t="shared" si="1"/>
        <v>50164.2</v>
      </c>
      <c r="J12" s="10">
        <v>55.8</v>
      </c>
      <c r="K12" s="10">
        <v>880</v>
      </c>
      <c r="L12" s="10">
        <f t="shared" si="2"/>
        <v>49104</v>
      </c>
      <c r="M12" s="2"/>
      <c r="N12" s="10">
        <v>55.8</v>
      </c>
      <c r="O12" s="10">
        <v>948</v>
      </c>
      <c r="P12" s="10">
        <f t="shared" si="3"/>
        <v>52898.399999999994</v>
      </c>
      <c r="R12" s="10">
        <v>55.8</v>
      </c>
      <c r="S12" s="10">
        <v>878</v>
      </c>
      <c r="T12" s="10">
        <f t="shared" si="4"/>
        <v>48992.399999999994</v>
      </c>
    </row>
    <row r="13" spans="1:20" x14ac:dyDescent="0.45">
      <c r="A13" s="2"/>
      <c r="B13" s="10">
        <v>56</v>
      </c>
      <c r="C13" s="10">
        <v>815</v>
      </c>
      <c r="D13" s="10">
        <f t="shared" si="0"/>
        <v>45640</v>
      </c>
      <c r="E13" s="2"/>
      <c r="F13" s="10">
        <v>56</v>
      </c>
      <c r="G13" s="10">
        <v>783</v>
      </c>
      <c r="H13" s="10">
        <f t="shared" si="1"/>
        <v>43848</v>
      </c>
      <c r="J13" s="10">
        <v>56</v>
      </c>
      <c r="K13" s="10">
        <v>814</v>
      </c>
      <c r="L13" s="10">
        <f t="shared" si="2"/>
        <v>45584</v>
      </c>
      <c r="M13" s="2"/>
      <c r="N13" s="10">
        <v>56</v>
      </c>
      <c r="O13" s="10">
        <v>759</v>
      </c>
      <c r="P13" s="10">
        <f t="shared" si="3"/>
        <v>42504</v>
      </c>
      <c r="R13" s="10">
        <v>56</v>
      </c>
      <c r="S13" s="10">
        <v>838</v>
      </c>
      <c r="T13" s="10">
        <f t="shared" si="4"/>
        <v>46928</v>
      </c>
    </row>
    <row r="14" spans="1:20" x14ac:dyDescent="0.45">
      <c r="A14" s="2"/>
      <c r="B14" s="10">
        <v>56.2</v>
      </c>
      <c r="C14" s="10">
        <v>506</v>
      </c>
      <c r="D14" s="10">
        <f t="shared" si="0"/>
        <v>28437.200000000001</v>
      </c>
      <c r="E14" s="2"/>
      <c r="F14" s="10">
        <v>56.2</v>
      </c>
      <c r="G14" s="10">
        <v>543</v>
      </c>
      <c r="H14" s="10">
        <f t="shared" si="1"/>
        <v>30516.600000000002</v>
      </c>
      <c r="J14" s="10">
        <v>56.2</v>
      </c>
      <c r="K14" s="10">
        <v>502</v>
      </c>
      <c r="L14" s="10">
        <f t="shared" si="2"/>
        <v>28212.400000000001</v>
      </c>
      <c r="M14" s="2"/>
      <c r="N14" s="10">
        <v>56.2</v>
      </c>
      <c r="O14" s="10">
        <v>498</v>
      </c>
      <c r="P14" s="10">
        <f t="shared" si="3"/>
        <v>27987.600000000002</v>
      </c>
      <c r="R14" s="10">
        <v>56.2</v>
      </c>
      <c r="S14" s="10">
        <v>581</v>
      </c>
      <c r="T14" s="10">
        <f t="shared" si="4"/>
        <v>32652.2</v>
      </c>
    </row>
    <row r="15" spans="1:20" x14ac:dyDescent="0.45">
      <c r="A15" s="2"/>
      <c r="B15" s="10">
        <v>56.4</v>
      </c>
      <c r="C15" s="10">
        <v>225</v>
      </c>
      <c r="D15" s="10">
        <f t="shared" si="0"/>
        <v>12690</v>
      </c>
      <c r="E15" s="2"/>
      <c r="F15" s="10">
        <v>56.4</v>
      </c>
      <c r="G15" s="10">
        <v>244</v>
      </c>
      <c r="H15" s="10">
        <f t="shared" si="1"/>
        <v>13761.6</v>
      </c>
      <c r="J15" s="10">
        <v>56.4</v>
      </c>
      <c r="K15" s="10">
        <v>235</v>
      </c>
      <c r="L15" s="10">
        <f t="shared" si="2"/>
        <v>13254</v>
      </c>
      <c r="M15" s="2"/>
      <c r="N15" s="10">
        <v>56.4</v>
      </c>
      <c r="O15" s="10">
        <v>234</v>
      </c>
      <c r="P15" s="10">
        <f t="shared" si="3"/>
        <v>13197.6</v>
      </c>
      <c r="R15" s="10">
        <v>56.4</v>
      </c>
      <c r="S15" s="10">
        <v>280</v>
      </c>
      <c r="T15" s="10">
        <f t="shared" si="4"/>
        <v>15792</v>
      </c>
    </row>
    <row r="16" spans="1:20" x14ac:dyDescent="0.45">
      <c r="A16" s="2"/>
      <c r="B16" s="10">
        <v>56.6</v>
      </c>
      <c r="C16" s="10">
        <v>126</v>
      </c>
      <c r="D16" s="10">
        <f t="shared" si="0"/>
        <v>7131.6</v>
      </c>
      <c r="E16" s="2"/>
      <c r="F16" s="10">
        <v>56.6</v>
      </c>
      <c r="G16" s="10">
        <v>139</v>
      </c>
      <c r="H16" s="10">
        <f t="shared" si="1"/>
        <v>7867.4000000000005</v>
      </c>
      <c r="J16" s="10">
        <v>56.6</v>
      </c>
      <c r="K16" s="10">
        <v>143</v>
      </c>
      <c r="L16" s="10">
        <f t="shared" si="2"/>
        <v>8093.8</v>
      </c>
      <c r="M16" s="2"/>
      <c r="N16" s="10">
        <v>56.6</v>
      </c>
      <c r="O16" s="10">
        <v>111</v>
      </c>
      <c r="P16" s="10">
        <f t="shared" si="3"/>
        <v>6282.6</v>
      </c>
      <c r="R16" s="10">
        <v>56.6</v>
      </c>
      <c r="S16" s="10">
        <v>144</v>
      </c>
      <c r="T16" s="10">
        <f t="shared" si="4"/>
        <v>8150.4000000000005</v>
      </c>
    </row>
    <row r="17" spans="1:20" x14ac:dyDescent="0.45">
      <c r="A17" s="2"/>
      <c r="B17" s="10">
        <v>56.8</v>
      </c>
      <c r="C17" s="10">
        <v>73</v>
      </c>
      <c r="D17" s="10">
        <f t="shared" si="0"/>
        <v>4146.3999999999996</v>
      </c>
      <c r="E17" s="2"/>
      <c r="F17" s="10">
        <v>56.8</v>
      </c>
      <c r="G17" s="10">
        <v>104</v>
      </c>
      <c r="H17" s="10">
        <f t="shared" si="1"/>
        <v>5907.2</v>
      </c>
      <c r="J17" s="10">
        <v>56.8</v>
      </c>
      <c r="K17" s="10">
        <v>79</v>
      </c>
      <c r="L17" s="10">
        <f t="shared" si="2"/>
        <v>4487.2</v>
      </c>
      <c r="M17" s="2"/>
      <c r="N17" s="10">
        <v>56.8</v>
      </c>
      <c r="O17" s="10">
        <v>99</v>
      </c>
      <c r="P17" s="10">
        <f t="shared" si="3"/>
        <v>5623.2</v>
      </c>
      <c r="R17" s="10">
        <v>56.8</v>
      </c>
      <c r="S17" s="10">
        <v>87</v>
      </c>
      <c r="T17" s="10">
        <f t="shared" si="4"/>
        <v>4941.5999999999995</v>
      </c>
    </row>
    <row r="18" spans="1:20" x14ac:dyDescent="0.45">
      <c r="A18" s="2"/>
      <c r="B18" s="10">
        <v>57</v>
      </c>
      <c r="C18" s="10">
        <v>74</v>
      </c>
      <c r="D18" s="10">
        <f t="shared" si="0"/>
        <v>4218</v>
      </c>
      <c r="E18" s="2"/>
      <c r="F18" s="10">
        <v>57</v>
      </c>
      <c r="G18" s="10">
        <v>64</v>
      </c>
      <c r="H18" s="10">
        <f t="shared" si="1"/>
        <v>3648</v>
      </c>
      <c r="J18" s="10">
        <v>57</v>
      </c>
      <c r="K18" s="10">
        <v>60</v>
      </c>
      <c r="L18" s="10">
        <f t="shared" si="2"/>
        <v>3420</v>
      </c>
      <c r="M18" s="2"/>
      <c r="N18" s="10">
        <v>57</v>
      </c>
      <c r="O18" s="10">
        <v>67</v>
      </c>
      <c r="P18" s="10">
        <f t="shared" si="3"/>
        <v>3819</v>
      </c>
      <c r="R18" s="10">
        <v>57</v>
      </c>
      <c r="S18" s="10">
        <v>71</v>
      </c>
      <c r="T18" s="10">
        <f t="shared" si="4"/>
        <v>4047</v>
      </c>
    </row>
    <row r="19" spans="1:20" x14ac:dyDescent="0.45">
      <c r="A19" s="2"/>
      <c r="B19" s="10">
        <v>57.2</v>
      </c>
      <c r="C19" s="10">
        <v>57</v>
      </c>
      <c r="D19" s="10">
        <f t="shared" si="0"/>
        <v>3260.4</v>
      </c>
      <c r="E19" s="2"/>
      <c r="F19" s="10">
        <v>57.2</v>
      </c>
      <c r="G19" s="10">
        <v>49</v>
      </c>
      <c r="H19" s="10">
        <f t="shared" si="1"/>
        <v>2802.8</v>
      </c>
      <c r="J19" s="10">
        <v>57.2</v>
      </c>
      <c r="K19" s="10">
        <v>53</v>
      </c>
      <c r="L19" s="10">
        <f t="shared" si="2"/>
        <v>3031.6000000000004</v>
      </c>
      <c r="M19" s="2"/>
      <c r="N19" s="10">
        <v>57.2</v>
      </c>
      <c r="O19" s="10">
        <v>41</v>
      </c>
      <c r="P19" s="10">
        <f t="shared" si="3"/>
        <v>2345.2000000000003</v>
      </c>
      <c r="R19" s="10">
        <v>57.2</v>
      </c>
      <c r="S19" s="10">
        <v>57</v>
      </c>
      <c r="T19" s="10">
        <f t="shared" si="4"/>
        <v>3260.4</v>
      </c>
    </row>
    <row r="20" spans="1:20" x14ac:dyDescent="0.45">
      <c r="C20" s="11">
        <f>SUM(C5:C19)</f>
        <v>3949</v>
      </c>
      <c r="D20" s="11">
        <f>SUM(D5:D19)</f>
        <v>220622.80000000002</v>
      </c>
      <c r="G20" s="11">
        <f>SUM(G5:G19)</f>
        <v>3972</v>
      </c>
      <c r="H20" s="11">
        <f>SUM(H5:H19)</f>
        <v>221933.2</v>
      </c>
      <c r="K20" s="11">
        <f>SUM(K5:K19)</f>
        <v>3906</v>
      </c>
      <c r="L20" s="11">
        <f>SUM(L5:L19)</f>
        <v>218244.2</v>
      </c>
      <c r="O20" s="11">
        <f>SUM(O5:O19)</f>
        <v>3907</v>
      </c>
      <c r="P20" s="11">
        <f>SUM(P5:P19)</f>
        <v>218268.00000000003</v>
      </c>
      <c r="S20" s="11">
        <f>SUM(S5:S19)</f>
        <v>4100</v>
      </c>
      <c r="T20" s="11">
        <f>SUM(T5:T19)</f>
        <v>229150.80000000002</v>
      </c>
    </row>
    <row r="21" spans="1:20" x14ac:dyDescent="0.45">
      <c r="A21" s="12" t="s">
        <v>13</v>
      </c>
      <c r="D21" s="11">
        <f>D20/C20</f>
        <v>55.868017219549259</v>
      </c>
      <c r="H21" s="11">
        <f>H20/G20</f>
        <v>55.874420946626387</v>
      </c>
      <c r="L21" s="11">
        <f>L20/K20</f>
        <v>55.874091141833077</v>
      </c>
      <c r="P21" s="11">
        <f>P20/O20</f>
        <v>55.865881750703871</v>
      </c>
      <c r="T21" s="11">
        <f>T20/S20</f>
        <v>55.890439024390247</v>
      </c>
    </row>
    <row r="22" spans="1:20" x14ac:dyDescent="0.45">
      <c r="A22" s="12" t="s">
        <v>14</v>
      </c>
      <c r="D22" s="11">
        <f>RADIANS(D21/2)</f>
        <v>0.48754042352101118</v>
      </c>
      <c r="H22" s="11">
        <f>RADIANS(H21/2)</f>
        <v>0.48759630658195863</v>
      </c>
      <c r="L22" s="11">
        <f>RADIANS(L21/2)</f>
        <v>0.48759342849219262</v>
      </c>
      <c r="P22" s="11">
        <f>RADIANS(P21/2)</f>
        <v>0.48752178803979829</v>
      </c>
      <c r="T22" s="11">
        <f>RADIANS(T21/2)</f>
        <v>0.48773609068036855</v>
      </c>
    </row>
    <row r="25" spans="1:20" x14ac:dyDescent="0.45">
      <c r="A25" s="12" t="s">
        <v>15</v>
      </c>
      <c r="C25" s="11">
        <f>SUM(D22+H22+L22+P22+T22)/5</f>
        <v>0.48759760746306585</v>
      </c>
      <c r="F25" s="12" t="s">
        <v>16</v>
      </c>
      <c r="G25" s="11">
        <v>1.5406000000000001E-10</v>
      </c>
    </row>
    <row r="27" spans="1:20" x14ac:dyDescent="0.45">
      <c r="A27" s="12" t="s">
        <v>17</v>
      </c>
      <c r="C27" s="11">
        <f>(2*G25)/(2*SIN(C25))</f>
        <v>3.2883332826060682E-10</v>
      </c>
    </row>
    <row r="28" spans="1:20" x14ac:dyDescent="0.45">
      <c r="A28" s="12" t="s">
        <v>18</v>
      </c>
    </row>
  </sheetData>
  <mergeCells count="6">
    <mergeCell ref="F2:G2"/>
    <mergeCell ref="J2:K2"/>
    <mergeCell ref="N2:O2"/>
    <mergeCell ref="R2:S2"/>
    <mergeCell ref="B1:T1"/>
    <mergeCell ref="B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25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  <col min="2" max="2" width="16" customWidth="1"/>
    <col min="3" max="3" width="20" customWidth="1"/>
    <col min="4" max="4" width="18" customWidth="1"/>
    <col min="5" max="5" width="2" customWidth="1"/>
    <col min="6" max="6" width="16" customWidth="1"/>
    <col min="7" max="7" width="20" customWidth="1"/>
    <col min="8" max="8" width="18" customWidth="1"/>
    <col min="9" max="9" width="2" customWidth="1"/>
    <col min="10" max="10" width="16" customWidth="1"/>
    <col min="11" max="11" width="20" customWidth="1"/>
    <col min="12" max="12" width="18" customWidth="1"/>
    <col min="13" max="13" width="2" customWidth="1"/>
    <col min="14" max="14" width="16" customWidth="1"/>
    <col min="15" max="15" width="20" customWidth="1"/>
    <col min="16" max="16" width="18" customWidth="1"/>
    <col min="17" max="17" width="2" customWidth="1"/>
    <col min="18" max="18" width="16" customWidth="1"/>
    <col min="19" max="19" width="20" customWidth="1"/>
    <col min="20" max="20" width="18" customWidth="1"/>
  </cols>
  <sheetData>
    <row r="1" spans="1:20" ht="30" customHeight="1" x14ac:dyDescent="0.45">
      <c r="A1" s="4"/>
      <c r="B1" s="20" t="s">
        <v>22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</row>
    <row r="2" spans="1:20" ht="22.05" customHeight="1" x14ac:dyDescent="0.45">
      <c r="A2" s="5"/>
      <c r="B2" s="15" t="s">
        <v>6</v>
      </c>
      <c r="C2" s="21"/>
      <c r="D2" s="16"/>
      <c r="F2" s="15" t="s">
        <v>7</v>
      </c>
      <c r="G2" s="16"/>
      <c r="J2" s="17" t="s">
        <v>8</v>
      </c>
      <c r="K2" s="14"/>
      <c r="M2" s="5"/>
      <c r="N2" s="18" t="s">
        <v>9</v>
      </c>
      <c r="O2" s="19"/>
      <c r="R2" s="18" t="s">
        <v>10</v>
      </c>
      <c r="S2" s="19"/>
    </row>
    <row r="3" spans="1:20" ht="30" customHeight="1" x14ac:dyDescent="0.45">
      <c r="A3" s="1"/>
      <c r="B3" s="6" t="s">
        <v>1</v>
      </c>
      <c r="C3" s="6" t="s">
        <v>2</v>
      </c>
      <c r="D3" s="6" t="s">
        <v>11</v>
      </c>
      <c r="E3" s="3"/>
      <c r="F3" s="7" t="s">
        <v>1</v>
      </c>
      <c r="G3" s="7" t="s">
        <v>2</v>
      </c>
      <c r="H3" s="7" t="s">
        <v>11</v>
      </c>
      <c r="J3" s="6" t="s">
        <v>1</v>
      </c>
      <c r="K3" s="6" t="s">
        <v>2</v>
      </c>
      <c r="L3" s="6" t="s">
        <v>11</v>
      </c>
      <c r="M3" s="1"/>
      <c r="N3" s="7" t="s">
        <v>1</v>
      </c>
      <c r="O3" s="7" t="s">
        <v>2</v>
      </c>
      <c r="P3" s="7" t="s">
        <v>11</v>
      </c>
      <c r="R3" s="6" t="s">
        <v>1</v>
      </c>
      <c r="S3" s="6" t="s">
        <v>2</v>
      </c>
      <c r="T3" s="6" t="s">
        <v>11</v>
      </c>
    </row>
    <row r="4" spans="1:20" x14ac:dyDescent="0.45">
      <c r="A4" s="2"/>
      <c r="B4" s="8" t="s">
        <v>12</v>
      </c>
      <c r="C4" s="8" t="s">
        <v>4</v>
      </c>
      <c r="D4" s="8"/>
      <c r="E4" s="2"/>
      <c r="F4" s="9" t="s">
        <v>12</v>
      </c>
      <c r="G4" s="9" t="s">
        <v>4</v>
      </c>
      <c r="H4" s="9"/>
      <c r="J4" s="8" t="s">
        <v>12</v>
      </c>
      <c r="K4" s="8" t="s">
        <v>4</v>
      </c>
      <c r="L4" s="8"/>
      <c r="M4" s="2"/>
      <c r="N4" s="9" t="s">
        <v>12</v>
      </c>
      <c r="O4" s="9" t="s">
        <v>4</v>
      </c>
      <c r="P4" s="9"/>
      <c r="R4" s="8" t="s">
        <v>12</v>
      </c>
      <c r="S4" s="8" t="s">
        <v>4</v>
      </c>
      <c r="T4" s="8"/>
    </row>
    <row r="5" spans="1:20" x14ac:dyDescent="0.45">
      <c r="A5" s="2"/>
      <c r="B5" s="10">
        <v>77.400000000000006</v>
      </c>
      <c r="C5" s="10">
        <v>37</v>
      </c>
      <c r="D5" s="10">
        <f t="shared" ref="D5:D16" si="0">B5*C5</f>
        <v>2863.8</v>
      </c>
      <c r="E5" s="2"/>
      <c r="F5" s="10">
        <v>77.400000000000006</v>
      </c>
      <c r="G5" s="10">
        <v>30</v>
      </c>
      <c r="H5" s="10">
        <f t="shared" ref="H5:H16" si="1">F5*G5</f>
        <v>2322</v>
      </c>
      <c r="J5" s="10">
        <v>77.400000000000006</v>
      </c>
      <c r="K5" s="10">
        <v>28</v>
      </c>
      <c r="L5" s="10">
        <f t="shared" ref="L5:L16" si="2">J5*K5</f>
        <v>2167.2000000000003</v>
      </c>
      <c r="M5" s="2"/>
      <c r="N5" s="10">
        <v>77.400000000000006</v>
      </c>
      <c r="O5" s="10">
        <v>20</v>
      </c>
      <c r="P5" s="10">
        <f t="shared" ref="P5:P16" si="3">N5*O5</f>
        <v>1548</v>
      </c>
      <c r="R5" s="10">
        <v>77.400000000000006</v>
      </c>
      <c r="S5" s="10">
        <v>30</v>
      </c>
      <c r="T5" s="10">
        <f t="shared" ref="T5:T16" si="4">R5*S5</f>
        <v>2322</v>
      </c>
    </row>
    <row r="6" spans="1:20" x14ac:dyDescent="0.45">
      <c r="A6" s="2"/>
      <c r="B6" s="10">
        <v>77.599999999999994</v>
      </c>
      <c r="C6" s="10">
        <v>32</v>
      </c>
      <c r="D6" s="10">
        <f t="shared" si="0"/>
        <v>2483.1999999999998</v>
      </c>
      <c r="E6" s="2"/>
      <c r="F6" s="10">
        <v>77.599999999999994</v>
      </c>
      <c r="G6" s="10">
        <v>27</v>
      </c>
      <c r="H6" s="10">
        <f t="shared" si="1"/>
        <v>2095.1999999999998</v>
      </c>
      <c r="J6" s="10">
        <v>77.599999999999994</v>
      </c>
      <c r="K6" s="10">
        <v>39</v>
      </c>
      <c r="L6" s="10">
        <f t="shared" si="2"/>
        <v>3026.3999999999996</v>
      </c>
      <c r="M6" s="2"/>
      <c r="N6" s="10">
        <v>77.599999999999994</v>
      </c>
      <c r="O6" s="10">
        <v>27</v>
      </c>
      <c r="P6" s="10">
        <f t="shared" si="3"/>
        <v>2095.1999999999998</v>
      </c>
      <c r="R6" s="10">
        <v>77.599999999999994</v>
      </c>
      <c r="S6" s="10">
        <v>39</v>
      </c>
      <c r="T6" s="10">
        <f t="shared" si="4"/>
        <v>3026.3999999999996</v>
      </c>
    </row>
    <row r="7" spans="1:20" x14ac:dyDescent="0.45">
      <c r="A7" s="2"/>
      <c r="B7" s="10">
        <v>77.8</v>
      </c>
      <c r="C7" s="10">
        <v>40</v>
      </c>
      <c r="D7" s="10">
        <f t="shared" si="0"/>
        <v>3112</v>
      </c>
      <c r="E7" s="2"/>
      <c r="F7" s="10">
        <v>77.8</v>
      </c>
      <c r="G7" s="10">
        <v>26</v>
      </c>
      <c r="H7" s="10">
        <f t="shared" si="1"/>
        <v>2022.8</v>
      </c>
      <c r="J7" s="10">
        <v>77.8</v>
      </c>
      <c r="K7" s="10">
        <v>31</v>
      </c>
      <c r="L7" s="10">
        <f t="shared" si="2"/>
        <v>2411.7999999999997</v>
      </c>
      <c r="M7" s="2"/>
      <c r="N7" s="10">
        <v>77.8</v>
      </c>
      <c r="O7" s="10">
        <v>29</v>
      </c>
      <c r="P7" s="10">
        <f t="shared" si="3"/>
        <v>2256.1999999999998</v>
      </c>
      <c r="R7" s="10">
        <v>77.8</v>
      </c>
      <c r="S7" s="10">
        <v>27</v>
      </c>
      <c r="T7" s="10">
        <f t="shared" si="4"/>
        <v>2100.6</v>
      </c>
    </row>
    <row r="8" spans="1:20" x14ac:dyDescent="0.45">
      <c r="A8" s="2"/>
      <c r="B8" s="10">
        <v>78</v>
      </c>
      <c r="C8" s="10">
        <v>29</v>
      </c>
      <c r="D8" s="10">
        <f t="shared" si="0"/>
        <v>2262</v>
      </c>
      <c r="E8" s="2"/>
      <c r="F8" s="10">
        <v>78</v>
      </c>
      <c r="G8" s="10">
        <v>28</v>
      </c>
      <c r="H8" s="10">
        <f t="shared" si="1"/>
        <v>2184</v>
      </c>
      <c r="J8" s="10">
        <v>78</v>
      </c>
      <c r="K8" s="10">
        <v>32</v>
      </c>
      <c r="L8" s="10">
        <f t="shared" si="2"/>
        <v>2496</v>
      </c>
      <c r="M8" s="2"/>
      <c r="N8" s="10">
        <v>78</v>
      </c>
      <c r="O8" s="10">
        <v>32</v>
      </c>
      <c r="P8" s="10">
        <f t="shared" si="3"/>
        <v>2496</v>
      </c>
      <c r="R8" s="10">
        <v>78</v>
      </c>
      <c r="S8" s="10">
        <v>34</v>
      </c>
      <c r="T8" s="10">
        <f t="shared" si="4"/>
        <v>2652</v>
      </c>
    </row>
    <row r="9" spans="1:20" x14ac:dyDescent="0.45">
      <c r="A9" s="2"/>
      <c r="B9" s="10">
        <v>78.099999999999994</v>
      </c>
      <c r="C9" s="10">
        <v>47</v>
      </c>
      <c r="D9" s="10">
        <f t="shared" si="0"/>
        <v>3670.7</v>
      </c>
      <c r="E9" s="2"/>
      <c r="F9" s="10">
        <v>78.099999999999994</v>
      </c>
      <c r="G9" s="10">
        <v>37</v>
      </c>
      <c r="H9" s="10">
        <f t="shared" si="1"/>
        <v>2889.7</v>
      </c>
      <c r="J9" s="10">
        <v>78.099999999999994</v>
      </c>
      <c r="K9" s="10">
        <v>34</v>
      </c>
      <c r="L9" s="10">
        <f t="shared" si="2"/>
        <v>2655.3999999999996</v>
      </c>
      <c r="M9" s="2"/>
      <c r="N9" s="10">
        <v>78.099999999999994</v>
      </c>
      <c r="O9" s="10">
        <v>36</v>
      </c>
      <c r="P9" s="10">
        <f t="shared" si="3"/>
        <v>2811.6</v>
      </c>
      <c r="R9" s="10">
        <v>78.099999999999994</v>
      </c>
      <c r="S9" s="10">
        <v>41</v>
      </c>
      <c r="T9" s="10">
        <f t="shared" si="4"/>
        <v>3202.1</v>
      </c>
    </row>
    <row r="10" spans="1:20" x14ac:dyDescent="0.45">
      <c r="A10" s="2"/>
      <c r="B10" s="10">
        <v>78.400000000000006</v>
      </c>
      <c r="C10" s="10">
        <v>76</v>
      </c>
      <c r="D10" s="10">
        <f t="shared" si="0"/>
        <v>5958.4000000000005</v>
      </c>
      <c r="E10" s="2"/>
      <c r="F10" s="10">
        <v>78.400000000000006</v>
      </c>
      <c r="G10" s="10">
        <v>61</v>
      </c>
      <c r="H10" s="10">
        <f t="shared" si="1"/>
        <v>4782.4000000000005</v>
      </c>
      <c r="J10" s="10">
        <v>78.400000000000006</v>
      </c>
      <c r="K10" s="10">
        <v>53</v>
      </c>
      <c r="L10" s="10">
        <f t="shared" si="2"/>
        <v>4155.2000000000007</v>
      </c>
      <c r="M10" s="2"/>
      <c r="N10" s="10">
        <v>78.400000000000006</v>
      </c>
      <c r="O10" s="10">
        <v>69</v>
      </c>
      <c r="P10" s="10">
        <f t="shared" si="3"/>
        <v>5409.6</v>
      </c>
      <c r="R10" s="10">
        <v>78.400000000000006</v>
      </c>
      <c r="S10" s="10">
        <v>68</v>
      </c>
      <c r="T10" s="10">
        <f t="shared" si="4"/>
        <v>5331.2000000000007</v>
      </c>
    </row>
    <row r="11" spans="1:20" x14ac:dyDescent="0.45">
      <c r="A11" s="2"/>
      <c r="B11" s="10">
        <v>78.599999999999994</v>
      </c>
      <c r="C11" s="10">
        <v>78</v>
      </c>
      <c r="D11" s="10">
        <f t="shared" si="0"/>
        <v>6130.7999999999993</v>
      </c>
      <c r="E11" s="2"/>
      <c r="F11" s="10">
        <v>78.599999999999994</v>
      </c>
      <c r="G11" s="10">
        <v>66</v>
      </c>
      <c r="H11" s="10">
        <f t="shared" si="1"/>
        <v>5187.5999999999995</v>
      </c>
      <c r="J11" s="10">
        <v>78.599999999999994</v>
      </c>
      <c r="K11" s="10">
        <v>87</v>
      </c>
      <c r="L11" s="10">
        <f t="shared" si="2"/>
        <v>6838.2</v>
      </c>
      <c r="M11" s="2"/>
      <c r="N11" s="10">
        <v>78.599999999999994</v>
      </c>
      <c r="O11" s="10">
        <v>79</v>
      </c>
      <c r="P11" s="10">
        <f t="shared" si="3"/>
        <v>6209.4</v>
      </c>
      <c r="R11" s="10">
        <v>78.599999999999994</v>
      </c>
      <c r="S11" s="10">
        <v>75</v>
      </c>
      <c r="T11" s="10">
        <f t="shared" si="4"/>
        <v>5895</v>
      </c>
    </row>
    <row r="12" spans="1:20" x14ac:dyDescent="0.45">
      <c r="A12" s="2"/>
      <c r="B12" s="10">
        <v>78.8</v>
      </c>
      <c r="C12" s="10">
        <v>69</v>
      </c>
      <c r="D12" s="10">
        <f t="shared" si="0"/>
        <v>5437.2</v>
      </c>
      <c r="E12" s="2"/>
      <c r="F12" s="10">
        <v>78.8</v>
      </c>
      <c r="G12" s="10">
        <v>66</v>
      </c>
      <c r="H12" s="10">
        <f t="shared" si="1"/>
        <v>5200.8</v>
      </c>
      <c r="J12" s="10">
        <v>78.8</v>
      </c>
      <c r="K12" s="10">
        <v>52</v>
      </c>
      <c r="L12" s="10">
        <f t="shared" si="2"/>
        <v>4097.5999999999995</v>
      </c>
      <c r="M12" s="2"/>
      <c r="N12" s="10">
        <v>78.8</v>
      </c>
      <c r="O12" s="10">
        <v>66</v>
      </c>
      <c r="P12" s="10">
        <f t="shared" si="3"/>
        <v>5200.8</v>
      </c>
      <c r="R12" s="10">
        <v>78.8</v>
      </c>
      <c r="S12" s="10">
        <v>55</v>
      </c>
      <c r="T12" s="10">
        <f t="shared" si="4"/>
        <v>4334</v>
      </c>
    </row>
    <row r="13" spans="1:20" x14ac:dyDescent="0.45">
      <c r="A13" s="2"/>
      <c r="B13" s="10">
        <v>79</v>
      </c>
      <c r="C13" s="10">
        <v>38</v>
      </c>
      <c r="D13" s="10">
        <f t="shared" si="0"/>
        <v>3002</v>
      </c>
      <c r="E13" s="2"/>
      <c r="F13" s="10">
        <v>79</v>
      </c>
      <c r="G13" s="10">
        <v>49</v>
      </c>
      <c r="H13" s="10">
        <f t="shared" si="1"/>
        <v>3871</v>
      </c>
      <c r="J13" s="10">
        <v>79</v>
      </c>
      <c r="K13" s="10">
        <v>33</v>
      </c>
      <c r="L13" s="10">
        <f t="shared" si="2"/>
        <v>2607</v>
      </c>
      <c r="M13" s="2"/>
      <c r="N13" s="10">
        <v>79</v>
      </c>
      <c r="O13" s="10">
        <v>35</v>
      </c>
      <c r="P13" s="10">
        <f t="shared" si="3"/>
        <v>2765</v>
      </c>
      <c r="R13" s="10">
        <v>79</v>
      </c>
      <c r="S13" s="10">
        <v>39</v>
      </c>
      <c r="T13" s="10">
        <f t="shared" si="4"/>
        <v>3081</v>
      </c>
    </row>
    <row r="14" spans="1:20" x14ac:dyDescent="0.45">
      <c r="A14" s="2"/>
      <c r="B14" s="10">
        <v>79.099999999999994</v>
      </c>
      <c r="C14" s="10">
        <v>30</v>
      </c>
      <c r="D14" s="10">
        <f t="shared" si="0"/>
        <v>2373</v>
      </c>
      <c r="E14" s="2"/>
      <c r="F14" s="10">
        <v>79.099999999999994</v>
      </c>
      <c r="G14" s="10">
        <v>29</v>
      </c>
      <c r="H14" s="10">
        <f t="shared" si="1"/>
        <v>2293.8999999999996</v>
      </c>
      <c r="J14" s="10">
        <v>79.099999999999994</v>
      </c>
      <c r="K14" s="10">
        <v>29</v>
      </c>
      <c r="L14" s="10">
        <f t="shared" si="2"/>
        <v>2293.8999999999996</v>
      </c>
      <c r="M14" s="2"/>
      <c r="N14" s="10">
        <v>79.099999999999994</v>
      </c>
      <c r="O14" s="10">
        <v>16</v>
      </c>
      <c r="P14" s="10">
        <f t="shared" si="3"/>
        <v>1265.5999999999999</v>
      </c>
      <c r="R14" s="10">
        <v>79.099999999999994</v>
      </c>
      <c r="S14" s="10">
        <v>28</v>
      </c>
      <c r="T14" s="10">
        <f t="shared" si="4"/>
        <v>2214.7999999999997</v>
      </c>
    </row>
    <row r="15" spans="1:20" x14ac:dyDescent="0.45">
      <c r="A15" s="2"/>
      <c r="B15" s="10">
        <v>79.400000000000006</v>
      </c>
      <c r="C15" s="10">
        <v>26</v>
      </c>
      <c r="D15" s="10">
        <f t="shared" si="0"/>
        <v>2064.4</v>
      </c>
      <c r="E15" s="2"/>
      <c r="F15" s="10">
        <v>79.400000000000006</v>
      </c>
      <c r="G15" s="10">
        <v>32</v>
      </c>
      <c r="H15" s="10">
        <f t="shared" si="1"/>
        <v>2540.8000000000002</v>
      </c>
      <c r="J15" s="10">
        <v>79.400000000000006</v>
      </c>
      <c r="K15" s="10">
        <v>30</v>
      </c>
      <c r="L15" s="10">
        <f t="shared" si="2"/>
        <v>2382</v>
      </c>
      <c r="M15" s="2"/>
      <c r="N15" s="10">
        <v>79.400000000000006</v>
      </c>
      <c r="O15" s="10">
        <v>22</v>
      </c>
      <c r="P15" s="10">
        <f t="shared" si="3"/>
        <v>1746.8000000000002</v>
      </c>
      <c r="R15" s="10">
        <v>79.400000000000006</v>
      </c>
      <c r="S15" s="10">
        <v>29</v>
      </c>
      <c r="T15" s="10">
        <f t="shared" si="4"/>
        <v>2302.6000000000004</v>
      </c>
    </row>
    <row r="16" spans="1:20" x14ac:dyDescent="0.45">
      <c r="A16" s="2"/>
      <c r="B16" s="10">
        <v>79.599999999999994</v>
      </c>
      <c r="C16" s="10">
        <v>29</v>
      </c>
      <c r="D16" s="10">
        <f t="shared" si="0"/>
        <v>2308.3999999999996</v>
      </c>
      <c r="E16" s="2"/>
      <c r="F16" s="10">
        <v>79.599999999999994</v>
      </c>
      <c r="G16" s="10">
        <v>22</v>
      </c>
      <c r="H16" s="10">
        <f t="shared" si="1"/>
        <v>1751.1999999999998</v>
      </c>
      <c r="J16" s="10">
        <v>79.599999999999994</v>
      </c>
      <c r="K16" s="10">
        <v>37</v>
      </c>
      <c r="L16" s="10">
        <f t="shared" si="2"/>
        <v>2945.2</v>
      </c>
      <c r="M16" s="2"/>
      <c r="N16" s="10">
        <v>79.599999999999994</v>
      </c>
      <c r="O16" s="10">
        <v>31</v>
      </c>
      <c r="P16" s="10">
        <f t="shared" si="3"/>
        <v>2467.6</v>
      </c>
      <c r="R16" s="10">
        <v>79.599999999999994</v>
      </c>
      <c r="S16" s="10">
        <v>31</v>
      </c>
      <c r="T16" s="10">
        <f t="shared" si="4"/>
        <v>2467.6</v>
      </c>
    </row>
    <row r="17" spans="1:20" x14ac:dyDescent="0.45">
      <c r="C17" s="11">
        <f>SUM(C5:C16)</f>
        <v>531</v>
      </c>
      <c r="D17" s="11">
        <f>SUM(D5:D16)</f>
        <v>41665.900000000009</v>
      </c>
      <c r="G17" s="11">
        <f>SUM(G5:G16)</f>
        <v>473</v>
      </c>
      <c r="H17" s="11">
        <f>SUM(H5:H16)</f>
        <v>37141.4</v>
      </c>
      <c r="K17" s="11">
        <f>SUM(K5:K16)</f>
        <v>485</v>
      </c>
      <c r="L17" s="11">
        <f>SUM(L5:L16)</f>
        <v>38075.899999999994</v>
      </c>
      <c r="O17" s="11">
        <f>SUM(O5:O16)</f>
        <v>462</v>
      </c>
      <c r="P17" s="11">
        <f>SUM(P5:P16)</f>
        <v>36271.799999999996</v>
      </c>
      <c r="S17" s="11">
        <f>SUM(S5:S16)</f>
        <v>496</v>
      </c>
      <c r="T17" s="11">
        <f>SUM(T5:T16)</f>
        <v>38929.300000000003</v>
      </c>
    </row>
    <row r="18" spans="1:20" x14ac:dyDescent="0.45">
      <c r="A18" s="12" t="s">
        <v>13</v>
      </c>
      <c r="D18" s="11">
        <f>D17/C17</f>
        <v>78.466854990583826</v>
      </c>
      <c r="H18" s="11">
        <f>H17/G17</f>
        <v>78.523044397463011</v>
      </c>
      <c r="L18" s="11">
        <f>L17/K17</f>
        <v>78.507010309278343</v>
      </c>
      <c r="P18" s="11">
        <f>P17/O17</f>
        <v>78.510389610389595</v>
      </c>
      <c r="T18" s="11">
        <f>T17/S17</f>
        <v>78.486491935483883</v>
      </c>
    </row>
    <row r="19" spans="1:20" x14ac:dyDescent="0.45">
      <c r="A19" s="12" t="s">
        <v>14</v>
      </c>
      <c r="D19" s="11">
        <f>RADIANS(D18/2)</f>
        <v>0.68475248663531596</v>
      </c>
      <c r="H19" s="11">
        <f>RADIANS(H18/2)</f>
        <v>0.68524283171270828</v>
      </c>
      <c r="L19" s="11">
        <f>RADIANS(L18/2)</f>
        <v>0.68510290789701944</v>
      </c>
      <c r="P19" s="11">
        <f>RADIANS(P18/2)</f>
        <v>0.6851323978624233</v>
      </c>
      <c r="T19" s="11">
        <f>RADIANS(T18/2)</f>
        <v>0.68492385130708533</v>
      </c>
    </row>
    <row r="22" spans="1:20" x14ac:dyDescent="0.45">
      <c r="A22" s="12" t="s">
        <v>15</v>
      </c>
      <c r="C22" s="11">
        <f>SUM(D19+H19+L19+P19+T19)/5</f>
        <v>0.68503089508291048</v>
      </c>
      <c r="F22" s="12" t="s">
        <v>16</v>
      </c>
      <c r="G22" s="11">
        <v>1.3922000000000001E-10</v>
      </c>
    </row>
    <row r="24" spans="1:20" x14ac:dyDescent="0.45">
      <c r="A24" s="12" t="s">
        <v>17</v>
      </c>
      <c r="C24" s="11">
        <f>(3*G22)/(2*SIN(C22))</f>
        <v>3.3006323849931689E-10</v>
      </c>
    </row>
    <row r="25" spans="1:20" x14ac:dyDescent="0.45">
      <c r="A25" s="12" t="s">
        <v>18</v>
      </c>
    </row>
  </sheetData>
  <mergeCells count="6">
    <mergeCell ref="F2:G2"/>
    <mergeCell ref="J2:K2"/>
    <mergeCell ref="N2:O2"/>
    <mergeCell ref="R2:S2"/>
    <mergeCell ref="B1:T1"/>
    <mergeCell ref="B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28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  <col min="2" max="2" width="16" customWidth="1"/>
    <col min="3" max="3" width="20" customWidth="1"/>
    <col min="4" max="4" width="18" customWidth="1"/>
    <col min="5" max="5" width="2" customWidth="1"/>
    <col min="6" max="6" width="16" customWidth="1"/>
    <col min="7" max="7" width="20" customWidth="1"/>
    <col min="8" max="8" width="18" customWidth="1"/>
    <col min="9" max="9" width="2" customWidth="1"/>
    <col min="10" max="10" width="16" customWidth="1"/>
    <col min="11" max="11" width="20" customWidth="1"/>
    <col min="12" max="12" width="18" customWidth="1"/>
    <col min="13" max="13" width="2" customWidth="1"/>
    <col min="14" max="14" width="16" customWidth="1"/>
    <col min="15" max="15" width="20" customWidth="1"/>
    <col min="16" max="16" width="18" customWidth="1"/>
    <col min="17" max="17" width="2" customWidth="1"/>
    <col min="18" max="18" width="16" customWidth="1"/>
    <col min="19" max="19" width="20" customWidth="1"/>
    <col min="20" max="20" width="18" customWidth="1"/>
  </cols>
  <sheetData>
    <row r="1" spans="1:20" ht="30" customHeight="1" x14ac:dyDescent="0.45">
      <c r="A1" s="4"/>
      <c r="B1" s="20" t="s">
        <v>23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</row>
    <row r="2" spans="1:20" ht="22.05" customHeight="1" x14ac:dyDescent="0.45">
      <c r="A2" s="5"/>
      <c r="B2" s="15" t="s">
        <v>6</v>
      </c>
      <c r="C2" s="21"/>
      <c r="D2" s="16"/>
      <c r="F2" s="15" t="s">
        <v>7</v>
      </c>
      <c r="G2" s="16"/>
      <c r="J2" s="17" t="s">
        <v>8</v>
      </c>
      <c r="K2" s="14"/>
      <c r="M2" s="5"/>
      <c r="N2" s="18" t="s">
        <v>9</v>
      </c>
      <c r="O2" s="19"/>
      <c r="R2" s="18" t="s">
        <v>10</v>
      </c>
      <c r="S2" s="19"/>
    </row>
    <row r="3" spans="1:20" ht="30" customHeight="1" x14ac:dyDescent="0.45">
      <c r="A3" s="1"/>
      <c r="B3" s="6" t="s">
        <v>1</v>
      </c>
      <c r="C3" s="6" t="s">
        <v>2</v>
      </c>
      <c r="D3" s="6" t="s">
        <v>11</v>
      </c>
      <c r="E3" s="3"/>
      <c r="F3" s="7" t="s">
        <v>1</v>
      </c>
      <c r="G3" s="7" t="s">
        <v>2</v>
      </c>
      <c r="H3" s="7" t="s">
        <v>11</v>
      </c>
      <c r="J3" s="6" t="s">
        <v>1</v>
      </c>
      <c r="K3" s="6" t="s">
        <v>2</v>
      </c>
      <c r="L3" s="6" t="s">
        <v>11</v>
      </c>
      <c r="M3" s="1"/>
      <c r="N3" s="7" t="s">
        <v>1</v>
      </c>
      <c r="O3" s="7" t="s">
        <v>2</v>
      </c>
      <c r="P3" s="7" t="s">
        <v>11</v>
      </c>
      <c r="R3" s="6" t="s">
        <v>1</v>
      </c>
      <c r="S3" s="6" t="s">
        <v>2</v>
      </c>
      <c r="T3" s="6" t="s">
        <v>11</v>
      </c>
    </row>
    <row r="4" spans="1:20" x14ac:dyDescent="0.45">
      <c r="A4" s="2"/>
      <c r="B4" s="8" t="s">
        <v>12</v>
      </c>
      <c r="C4" s="8" t="s">
        <v>4</v>
      </c>
      <c r="D4" s="8"/>
      <c r="E4" s="2"/>
      <c r="F4" s="9" t="s">
        <v>12</v>
      </c>
      <c r="G4" s="9" t="s">
        <v>4</v>
      </c>
      <c r="H4" s="9"/>
      <c r="J4" s="8" t="s">
        <v>12</v>
      </c>
      <c r="K4" s="8" t="s">
        <v>4</v>
      </c>
      <c r="L4" s="8"/>
      <c r="M4" s="2"/>
      <c r="N4" s="9" t="s">
        <v>12</v>
      </c>
      <c r="O4" s="9" t="s">
        <v>4</v>
      </c>
      <c r="P4" s="9"/>
      <c r="R4" s="8" t="s">
        <v>12</v>
      </c>
      <c r="S4" s="8" t="s">
        <v>4</v>
      </c>
      <c r="T4" s="8"/>
    </row>
    <row r="5" spans="1:20" x14ac:dyDescent="0.45">
      <c r="A5" s="2"/>
      <c r="B5" s="10">
        <v>87.6</v>
      </c>
      <c r="C5" s="10">
        <v>39</v>
      </c>
      <c r="D5" s="10">
        <f t="shared" ref="D5:D19" si="0">B5*C5</f>
        <v>3416.3999999999996</v>
      </c>
      <c r="E5" s="2"/>
      <c r="F5" s="10">
        <v>87.6</v>
      </c>
      <c r="G5" s="10">
        <v>28</v>
      </c>
      <c r="H5" s="10">
        <f t="shared" ref="H5:H19" si="1">F5*G5</f>
        <v>2452.7999999999997</v>
      </c>
      <c r="J5" s="10">
        <v>87.6</v>
      </c>
      <c r="K5" s="10">
        <v>38</v>
      </c>
      <c r="L5" s="10">
        <f t="shared" ref="L5:L19" si="2">J5*K5</f>
        <v>3328.7999999999997</v>
      </c>
      <c r="M5" s="2"/>
      <c r="N5" s="10">
        <v>87.6</v>
      </c>
      <c r="O5" s="10">
        <v>42</v>
      </c>
      <c r="P5" s="10">
        <f t="shared" ref="P5:P19" si="3">N5*O5</f>
        <v>3679.2</v>
      </c>
      <c r="R5" s="10">
        <v>87.6</v>
      </c>
      <c r="S5" s="10">
        <v>42</v>
      </c>
      <c r="T5" s="10">
        <f t="shared" ref="T5:T19" si="4">R5*S5</f>
        <v>3679.2</v>
      </c>
    </row>
    <row r="6" spans="1:20" x14ac:dyDescent="0.45">
      <c r="A6" s="2"/>
      <c r="B6" s="10">
        <v>87.8</v>
      </c>
      <c r="C6" s="10">
        <v>44</v>
      </c>
      <c r="D6" s="10">
        <f t="shared" si="0"/>
        <v>3863.2</v>
      </c>
      <c r="E6" s="2"/>
      <c r="F6" s="10">
        <v>87.8</v>
      </c>
      <c r="G6" s="10">
        <v>35</v>
      </c>
      <c r="H6" s="10">
        <f t="shared" si="1"/>
        <v>3073</v>
      </c>
      <c r="J6" s="10">
        <v>87.8</v>
      </c>
      <c r="K6" s="10">
        <v>32</v>
      </c>
      <c r="L6" s="10">
        <f t="shared" si="2"/>
        <v>2809.6</v>
      </c>
      <c r="M6" s="2"/>
      <c r="N6" s="10">
        <v>87.8</v>
      </c>
      <c r="O6" s="10">
        <v>31</v>
      </c>
      <c r="P6" s="10">
        <f t="shared" si="3"/>
        <v>2721.7999999999997</v>
      </c>
      <c r="R6" s="10">
        <v>87.8</v>
      </c>
      <c r="S6" s="10">
        <v>41</v>
      </c>
      <c r="T6" s="10">
        <f t="shared" si="4"/>
        <v>3599.7999999999997</v>
      </c>
    </row>
    <row r="7" spans="1:20" x14ac:dyDescent="0.45">
      <c r="A7" s="2"/>
      <c r="B7" s="10">
        <v>88</v>
      </c>
      <c r="C7" s="10">
        <v>54</v>
      </c>
      <c r="D7" s="10">
        <f t="shared" si="0"/>
        <v>4752</v>
      </c>
      <c r="E7" s="2"/>
      <c r="F7" s="10">
        <v>88</v>
      </c>
      <c r="G7" s="10">
        <v>52</v>
      </c>
      <c r="H7" s="10">
        <f t="shared" si="1"/>
        <v>4576</v>
      </c>
      <c r="J7" s="10">
        <v>88</v>
      </c>
      <c r="K7" s="10">
        <v>59</v>
      </c>
      <c r="L7" s="10">
        <f t="shared" si="2"/>
        <v>5192</v>
      </c>
      <c r="M7" s="2"/>
      <c r="N7" s="10">
        <v>88</v>
      </c>
      <c r="O7" s="10">
        <v>57</v>
      </c>
      <c r="P7" s="10">
        <f t="shared" si="3"/>
        <v>5016</v>
      </c>
      <c r="R7" s="10">
        <v>88</v>
      </c>
      <c r="S7" s="10">
        <v>47</v>
      </c>
      <c r="T7" s="10">
        <f t="shared" si="4"/>
        <v>4136</v>
      </c>
    </row>
    <row r="8" spans="1:20" x14ac:dyDescent="0.45">
      <c r="A8" s="2"/>
      <c r="B8" s="10">
        <v>88.1</v>
      </c>
      <c r="C8" s="10">
        <v>63</v>
      </c>
      <c r="D8" s="10">
        <f t="shared" si="0"/>
        <v>5550.2999999999993</v>
      </c>
      <c r="E8" s="2"/>
      <c r="F8" s="10">
        <v>88.1</v>
      </c>
      <c r="G8" s="10">
        <v>53</v>
      </c>
      <c r="H8" s="10">
        <f t="shared" si="1"/>
        <v>4669.2999999999993</v>
      </c>
      <c r="J8" s="10">
        <v>88.1</v>
      </c>
      <c r="K8" s="10">
        <v>56</v>
      </c>
      <c r="L8" s="10">
        <f t="shared" si="2"/>
        <v>4933.5999999999995</v>
      </c>
      <c r="M8" s="2"/>
      <c r="N8" s="10">
        <v>88.1</v>
      </c>
      <c r="O8" s="10">
        <v>74</v>
      </c>
      <c r="P8" s="10">
        <f t="shared" si="3"/>
        <v>6519.4</v>
      </c>
      <c r="R8" s="10">
        <v>88.1</v>
      </c>
      <c r="S8" s="10">
        <v>45</v>
      </c>
      <c r="T8" s="10">
        <f t="shared" si="4"/>
        <v>3964.4999999999995</v>
      </c>
    </row>
    <row r="9" spans="1:20" x14ac:dyDescent="0.45">
      <c r="A9" s="2"/>
      <c r="B9" s="10">
        <v>88.4</v>
      </c>
      <c r="C9" s="10">
        <v>68</v>
      </c>
      <c r="D9" s="10">
        <f t="shared" si="0"/>
        <v>6011.2000000000007</v>
      </c>
      <c r="E9" s="2"/>
      <c r="F9" s="10">
        <v>88.4</v>
      </c>
      <c r="G9" s="10">
        <v>66</v>
      </c>
      <c r="H9" s="10">
        <f t="shared" si="1"/>
        <v>5834.4000000000005</v>
      </c>
      <c r="J9" s="10">
        <v>88.4</v>
      </c>
      <c r="K9" s="10">
        <v>68</v>
      </c>
      <c r="L9" s="10">
        <f t="shared" si="2"/>
        <v>6011.2000000000007</v>
      </c>
      <c r="M9" s="2"/>
      <c r="N9" s="10">
        <v>88.4</v>
      </c>
      <c r="O9" s="10">
        <v>68</v>
      </c>
      <c r="P9" s="10">
        <f t="shared" si="3"/>
        <v>6011.2000000000007</v>
      </c>
      <c r="R9" s="10">
        <v>88.4</v>
      </c>
      <c r="S9" s="10">
        <v>81</v>
      </c>
      <c r="T9" s="10">
        <f t="shared" si="4"/>
        <v>7160.4000000000005</v>
      </c>
    </row>
    <row r="10" spans="1:20" x14ac:dyDescent="0.45">
      <c r="A10" s="2"/>
      <c r="B10" s="10">
        <v>88.6</v>
      </c>
      <c r="C10" s="10">
        <v>117</v>
      </c>
      <c r="D10" s="10">
        <f t="shared" si="0"/>
        <v>10366.199999999999</v>
      </c>
      <c r="E10" s="2"/>
      <c r="F10" s="10">
        <v>88.6</v>
      </c>
      <c r="G10" s="10">
        <v>120</v>
      </c>
      <c r="H10" s="10">
        <f t="shared" si="1"/>
        <v>10632</v>
      </c>
      <c r="J10" s="10">
        <v>88.6</v>
      </c>
      <c r="K10" s="10">
        <v>114</v>
      </c>
      <c r="L10" s="10">
        <f t="shared" si="2"/>
        <v>10100.4</v>
      </c>
      <c r="M10" s="2"/>
      <c r="N10" s="10">
        <v>88.6</v>
      </c>
      <c r="O10" s="10">
        <v>127</v>
      </c>
      <c r="P10" s="10">
        <f t="shared" si="3"/>
        <v>11252.199999999999</v>
      </c>
      <c r="R10" s="10">
        <v>88.6</v>
      </c>
      <c r="S10" s="10">
        <v>124</v>
      </c>
      <c r="T10" s="10">
        <f t="shared" si="4"/>
        <v>10986.4</v>
      </c>
    </row>
    <row r="11" spans="1:20" x14ac:dyDescent="0.45">
      <c r="A11" s="2"/>
      <c r="B11" s="10">
        <v>88.8</v>
      </c>
      <c r="C11" s="10">
        <v>204</v>
      </c>
      <c r="D11" s="10">
        <f t="shared" si="0"/>
        <v>18115.2</v>
      </c>
      <c r="E11" s="2"/>
      <c r="F11" s="10">
        <v>88.8</v>
      </c>
      <c r="G11" s="10">
        <v>220</v>
      </c>
      <c r="H11" s="10">
        <f t="shared" si="1"/>
        <v>19536</v>
      </c>
      <c r="J11" s="10">
        <v>88.8</v>
      </c>
      <c r="K11" s="10">
        <v>214</v>
      </c>
      <c r="L11" s="10">
        <f t="shared" si="2"/>
        <v>19003.2</v>
      </c>
      <c r="M11" s="2"/>
      <c r="N11" s="10">
        <v>88.8</v>
      </c>
      <c r="O11" s="10">
        <v>170</v>
      </c>
      <c r="P11" s="10">
        <f t="shared" si="3"/>
        <v>15096</v>
      </c>
      <c r="R11" s="10">
        <v>88.8</v>
      </c>
      <c r="S11" s="10">
        <v>202</v>
      </c>
      <c r="T11" s="10">
        <f t="shared" si="4"/>
        <v>17937.599999999999</v>
      </c>
    </row>
    <row r="12" spans="1:20" x14ac:dyDescent="0.45">
      <c r="A12" s="2"/>
      <c r="B12" s="10">
        <v>89</v>
      </c>
      <c r="C12" s="10">
        <v>271</v>
      </c>
      <c r="D12" s="10">
        <f t="shared" si="0"/>
        <v>24119</v>
      </c>
      <c r="E12" s="2"/>
      <c r="F12" s="10">
        <v>89</v>
      </c>
      <c r="G12" s="10">
        <v>241</v>
      </c>
      <c r="H12" s="10">
        <f t="shared" si="1"/>
        <v>21449</v>
      </c>
      <c r="J12" s="10">
        <v>89</v>
      </c>
      <c r="K12" s="10">
        <v>289</v>
      </c>
      <c r="L12" s="10">
        <f t="shared" si="2"/>
        <v>25721</v>
      </c>
      <c r="M12" s="2"/>
      <c r="N12" s="10">
        <v>89</v>
      </c>
      <c r="O12" s="10">
        <v>248</v>
      </c>
      <c r="P12" s="10">
        <f t="shared" si="3"/>
        <v>22072</v>
      </c>
      <c r="R12" s="10">
        <v>89</v>
      </c>
      <c r="S12" s="10">
        <v>240</v>
      </c>
      <c r="T12" s="10">
        <f t="shared" si="4"/>
        <v>21360</v>
      </c>
    </row>
    <row r="13" spans="1:20" x14ac:dyDescent="0.45">
      <c r="A13" s="2"/>
      <c r="B13" s="10">
        <v>89.1</v>
      </c>
      <c r="C13" s="10">
        <v>198</v>
      </c>
      <c r="D13" s="10">
        <f t="shared" si="0"/>
        <v>17641.8</v>
      </c>
      <c r="E13" s="2"/>
      <c r="F13" s="10">
        <v>89.1</v>
      </c>
      <c r="G13" s="10">
        <v>215</v>
      </c>
      <c r="H13" s="10">
        <f t="shared" si="1"/>
        <v>19156.5</v>
      </c>
      <c r="J13" s="10">
        <v>89.1</v>
      </c>
      <c r="K13" s="10">
        <v>227</v>
      </c>
      <c r="L13" s="10">
        <f t="shared" si="2"/>
        <v>20225.699999999997</v>
      </c>
      <c r="M13" s="2"/>
      <c r="N13" s="10">
        <v>89.1</v>
      </c>
      <c r="O13" s="10">
        <v>233</v>
      </c>
      <c r="P13" s="10">
        <f t="shared" si="3"/>
        <v>20760.3</v>
      </c>
      <c r="R13" s="10">
        <v>89.1</v>
      </c>
      <c r="S13" s="10">
        <v>234</v>
      </c>
      <c r="T13" s="10">
        <f t="shared" si="4"/>
        <v>20849.399999999998</v>
      </c>
    </row>
    <row r="14" spans="1:20" x14ac:dyDescent="0.45">
      <c r="A14" s="2"/>
      <c r="B14" s="10">
        <v>89.4</v>
      </c>
      <c r="C14" s="10">
        <v>111</v>
      </c>
      <c r="D14" s="10">
        <f t="shared" si="0"/>
        <v>9923.4000000000015</v>
      </c>
      <c r="E14" s="2"/>
      <c r="F14" s="10">
        <v>89.4</v>
      </c>
      <c r="G14" s="10">
        <v>98</v>
      </c>
      <c r="H14" s="10">
        <f t="shared" si="1"/>
        <v>8761.2000000000007</v>
      </c>
      <c r="J14" s="10">
        <v>89.4</v>
      </c>
      <c r="K14" s="10">
        <v>116</v>
      </c>
      <c r="L14" s="10">
        <f t="shared" si="2"/>
        <v>10370.400000000001</v>
      </c>
      <c r="M14" s="2"/>
      <c r="N14" s="10">
        <v>89.4</v>
      </c>
      <c r="O14" s="10">
        <v>124</v>
      </c>
      <c r="P14" s="10">
        <f t="shared" si="3"/>
        <v>11085.6</v>
      </c>
      <c r="R14" s="10">
        <v>89.4</v>
      </c>
      <c r="S14" s="10">
        <v>122</v>
      </c>
      <c r="T14" s="10">
        <f t="shared" si="4"/>
        <v>10906.800000000001</v>
      </c>
    </row>
    <row r="15" spans="1:20" x14ac:dyDescent="0.45">
      <c r="A15" s="2"/>
      <c r="B15" s="10">
        <v>89.6</v>
      </c>
      <c r="C15" s="10">
        <v>55</v>
      </c>
      <c r="D15" s="10">
        <f t="shared" si="0"/>
        <v>4928</v>
      </c>
      <c r="E15" s="2"/>
      <c r="F15" s="10">
        <v>89.6</v>
      </c>
      <c r="G15" s="10">
        <v>78</v>
      </c>
      <c r="H15" s="10">
        <f t="shared" si="1"/>
        <v>6988.7999999999993</v>
      </c>
      <c r="J15" s="10">
        <v>89.6</v>
      </c>
      <c r="K15" s="10">
        <v>64</v>
      </c>
      <c r="L15" s="10">
        <f t="shared" si="2"/>
        <v>5734.4</v>
      </c>
      <c r="M15" s="2"/>
      <c r="N15" s="10">
        <v>89.6</v>
      </c>
      <c r="O15" s="10">
        <v>57</v>
      </c>
      <c r="P15" s="10">
        <f t="shared" si="3"/>
        <v>5107.2</v>
      </c>
      <c r="R15" s="10">
        <v>89.6</v>
      </c>
      <c r="S15" s="10">
        <v>76</v>
      </c>
      <c r="T15" s="10">
        <f t="shared" si="4"/>
        <v>6809.5999999999995</v>
      </c>
    </row>
    <row r="16" spans="1:20" x14ac:dyDescent="0.45">
      <c r="A16" s="2"/>
      <c r="B16" s="10">
        <v>89.8</v>
      </c>
      <c r="C16" s="10">
        <v>53</v>
      </c>
      <c r="D16" s="10">
        <f t="shared" si="0"/>
        <v>4759.3999999999996</v>
      </c>
      <c r="E16" s="2"/>
      <c r="F16" s="10">
        <v>89.8</v>
      </c>
      <c r="G16" s="10">
        <v>45</v>
      </c>
      <c r="H16" s="10">
        <f t="shared" si="1"/>
        <v>4041</v>
      </c>
      <c r="J16" s="10">
        <v>89.8</v>
      </c>
      <c r="K16" s="10">
        <v>44</v>
      </c>
      <c r="L16" s="10">
        <f t="shared" si="2"/>
        <v>3951.2</v>
      </c>
      <c r="M16" s="2"/>
      <c r="N16" s="10">
        <v>89.8</v>
      </c>
      <c r="O16" s="10">
        <v>36</v>
      </c>
      <c r="P16" s="10">
        <f t="shared" si="3"/>
        <v>3232.7999999999997</v>
      </c>
      <c r="R16" s="10">
        <v>89.8</v>
      </c>
      <c r="S16" s="10">
        <v>45</v>
      </c>
      <c r="T16" s="10">
        <f t="shared" si="4"/>
        <v>4041</v>
      </c>
    </row>
    <row r="17" spans="1:20" x14ac:dyDescent="0.45">
      <c r="A17" s="2"/>
      <c r="B17" s="10">
        <v>90</v>
      </c>
      <c r="C17" s="10">
        <v>43</v>
      </c>
      <c r="D17" s="10">
        <f t="shared" si="0"/>
        <v>3870</v>
      </c>
      <c r="E17" s="2"/>
      <c r="F17" s="10">
        <v>90</v>
      </c>
      <c r="G17" s="10">
        <v>45</v>
      </c>
      <c r="H17" s="10">
        <f t="shared" si="1"/>
        <v>4050</v>
      </c>
      <c r="J17" s="10">
        <v>90</v>
      </c>
      <c r="K17" s="10">
        <v>34</v>
      </c>
      <c r="L17" s="10">
        <f t="shared" si="2"/>
        <v>3060</v>
      </c>
      <c r="M17" s="2"/>
      <c r="N17" s="10">
        <v>90</v>
      </c>
      <c r="O17" s="10">
        <v>40</v>
      </c>
      <c r="P17" s="10">
        <f t="shared" si="3"/>
        <v>3600</v>
      </c>
      <c r="R17" s="10">
        <v>90</v>
      </c>
      <c r="S17" s="10">
        <v>37</v>
      </c>
      <c r="T17" s="10">
        <f t="shared" si="4"/>
        <v>3330</v>
      </c>
    </row>
    <row r="18" spans="1:20" x14ac:dyDescent="0.45">
      <c r="A18" s="2"/>
      <c r="B18" s="10">
        <v>90.1</v>
      </c>
      <c r="C18" s="10">
        <v>35</v>
      </c>
      <c r="D18" s="10">
        <f t="shared" si="0"/>
        <v>3153.5</v>
      </c>
      <c r="E18" s="2"/>
      <c r="F18" s="10">
        <v>90.1</v>
      </c>
      <c r="G18" s="10">
        <v>40</v>
      </c>
      <c r="H18" s="10">
        <f t="shared" si="1"/>
        <v>3604</v>
      </c>
      <c r="J18" s="10">
        <v>90.1</v>
      </c>
      <c r="K18" s="10">
        <v>47</v>
      </c>
      <c r="L18" s="10">
        <f t="shared" si="2"/>
        <v>4234.7</v>
      </c>
      <c r="M18" s="2"/>
      <c r="N18" s="10">
        <v>90.1</v>
      </c>
      <c r="O18" s="10">
        <v>32</v>
      </c>
      <c r="P18" s="10">
        <f t="shared" si="3"/>
        <v>2883.2</v>
      </c>
      <c r="R18" s="10">
        <v>90.1</v>
      </c>
      <c r="S18" s="10">
        <v>35</v>
      </c>
      <c r="T18" s="10">
        <f t="shared" si="4"/>
        <v>3153.5</v>
      </c>
    </row>
    <row r="19" spans="1:20" x14ac:dyDescent="0.45">
      <c r="A19" s="2"/>
      <c r="B19" s="10">
        <v>90.4</v>
      </c>
      <c r="C19" s="10">
        <v>27</v>
      </c>
      <c r="D19" s="10">
        <f t="shared" si="0"/>
        <v>2440.8000000000002</v>
      </c>
      <c r="E19" s="2"/>
      <c r="F19" s="10">
        <v>90.4</v>
      </c>
      <c r="G19" s="10">
        <v>24</v>
      </c>
      <c r="H19" s="10">
        <f t="shared" si="1"/>
        <v>2169.6000000000004</v>
      </c>
      <c r="J19" s="10">
        <v>90.4</v>
      </c>
      <c r="K19" s="10">
        <v>43</v>
      </c>
      <c r="L19" s="10">
        <f t="shared" si="2"/>
        <v>3887.2000000000003</v>
      </c>
      <c r="M19" s="2"/>
      <c r="N19" s="10">
        <v>90.4</v>
      </c>
      <c r="O19" s="10">
        <v>29</v>
      </c>
      <c r="P19" s="10">
        <f t="shared" si="3"/>
        <v>2621.6000000000004</v>
      </c>
      <c r="R19" s="10">
        <v>90.4</v>
      </c>
      <c r="S19" s="10">
        <v>21</v>
      </c>
      <c r="T19" s="10">
        <f t="shared" si="4"/>
        <v>1898.4</v>
      </c>
    </row>
    <row r="20" spans="1:20" x14ac:dyDescent="0.45">
      <c r="C20" s="11">
        <f>SUM(C5:C19)</f>
        <v>1382</v>
      </c>
      <c r="D20" s="11">
        <f>SUM(D5:D19)</f>
        <v>122910.40000000001</v>
      </c>
      <c r="G20" s="11">
        <f>SUM(G5:G19)</f>
        <v>1360</v>
      </c>
      <c r="H20" s="11">
        <f>SUM(H5:H19)</f>
        <v>120993.60000000001</v>
      </c>
      <c r="K20" s="11">
        <f>SUM(K5:K19)</f>
        <v>1445</v>
      </c>
      <c r="L20" s="11">
        <f>SUM(L5:L19)</f>
        <v>128563.39999999998</v>
      </c>
      <c r="O20" s="11">
        <f>SUM(O5:O19)</f>
        <v>1368</v>
      </c>
      <c r="P20" s="11">
        <f>SUM(P5:P19)</f>
        <v>121658.50000000001</v>
      </c>
      <c r="S20" s="11">
        <f>SUM(S5:S19)</f>
        <v>1392</v>
      </c>
      <c r="T20" s="11">
        <f>SUM(T5:T19)</f>
        <v>123812.59999999999</v>
      </c>
    </row>
    <row r="21" spans="1:20" x14ac:dyDescent="0.45">
      <c r="A21" s="12" t="s">
        <v>13</v>
      </c>
      <c r="D21" s="11">
        <f>D20/C20</f>
        <v>88.936613603473234</v>
      </c>
      <c r="H21" s="11">
        <f>H20/G20</f>
        <v>88.965882352941179</v>
      </c>
      <c r="L21" s="11">
        <f>L20/K20</f>
        <v>88.971211072664346</v>
      </c>
      <c r="P21" s="11">
        <f>P20/O20</f>
        <v>88.93165204678364</v>
      </c>
      <c r="T21" s="11">
        <f>T20/S20</f>
        <v>88.945833333333326</v>
      </c>
    </row>
    <row r="22" spans="1:20" x14ac:dyDescent="0.45">
      <c r="A22" s="12" t="s">
        <v>14</v>
      </c>
      <c r="D22" s="11">
        <f>RADIANS(D21/2)</f>
        <v>0.77611836647729326</v>
      </c>
      <c r="H22" s="11">
        <f>RADIANS(H21/2)</f>
        <v>0.77637378450037176</v>
      </c>
      <c r="L22" s="11">
        <f>RADIANS(L21/2)</f>
        <v>0.77642028635241433</v>
      </c>
      <c r="P22" s="11">
        <f>RADIANS(P21/2)</f>
        <v>0.77607506872716436</v>
      </c>
      <c r="T22" s="11">
        <f>RADIANS(T21/2)</f>
        <v>0.77619882379839478</v>
      </c>
    </row>
    <row r="25" spans="1:20" x14ac:dyDescent="0.45">
      <c r="A25" s="12" t="s">
        <v>15</v>
      </c>
      <c r="C25" s="11">
        <f>SUM(D22+H22+L22+P22+T22)/5</f>
        <v>0.77623726597112774</v>
      </c>
      <c r="F25" s="12" t="s">
        <v>16</v>
      </c>
      <c r="G25" s="11">
        <v>1.5406000000000001E-10</v>
      </c>
    </row>
    <row r="27" spans="1:20" x14ac:dyDescent="0.45">
      <c r="A27" s="12" t="s">
        <v>17</v>
      </c>
      <c r="C27" s="11">
        <f>(3*G25)/(2*SIN(C25))</f>
        <v>3.2984609670515666E-10</v>
      </c>
    </row>
    <row r="28" spans="1:20" x14ac:dyDescent="0.45">
      <c r="A28" s="12" t="s">
        <v>18</v>
      </c>
    </row>
  </sheetData>
  <mergeCells count="6">
    <mergeCell ref="F2:G2"/>
    <mergeCell ref="J2:K2"/>
    <mergeCell ref="N2:O2"/>
    <mergeCell ref="R2:S2"/>
    <mergeCell ref="B1:T1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Widescan</vt:lpstr>
      <vt:lpstr>Peak 1</vt:lpstr>
      <vt:lpstr>Peak 2</vt:lpstr>
      <vt:lpstr>Peak 3</vt:lpstr>
      <vt:lpstr>Peak 4</vt:lpstr>
      <vt:lpstr>Peak 5</vt:lpstr>
      <vt:lpstr>Peak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Soham Bhar</cp:lastModifiedBy>
  <dcterms:created xsi:type="dcterms:W3CDTF">2026-03-28T12:37:02Z</dcterms:created>
  <dcterms:modified xsi:type="dcterms:W3CDTF">2026-03-30T13:30:32Z</dcterms:modified>
</cp:coreProperties>
</file>