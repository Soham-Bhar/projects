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XRD_Data Files\"/>
    </mc:Choice>
  </mc:AlternateContent>
  <xr:revisionPtr revIDLastSave="0" documentId="13_ncr:1_{24655C4C-544E-406C-BE3F-92A8C25FC944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Widescan" sheetId="1" r:id="rId1"/>
    <sheet name="Peak 1" sheetId="2" r:id="rId2"/>
    <sheet name="Peak 2" sheetId="3" r:id="rId3"/>
    <sheet name="Peak 3" sheetId="4" r:id="rId4"/>
    <sheet name="Peak 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K22" i="2"/>
  <c r="K21" i="2"/>
  <c r="O22" i="3"/>
  <c r="O21" i="3"/>
  <c r="O20" i="3"/>
  <c r="L24" i="4"/>
  <c r="L23" i="4"/>
  <c r="L22" i="4"/>
  <c r="H27" i="5"/>
  <c r="H26" i="5"/>
  <c r="H25" i="5"/>
  <c r="H22" i="5"/>
  <c r="W17" i="5"/>
  <c r="W16" i="5"/>
  <c r="V15" i="5"/>
  <c r="W15" i="5"/>
  <c r="W6" i="5"/>
  <c r="W7" i="5"/>
  <c r="W8" i="5"/>
  <c r="W9" i="5"/>
  <c r="W10" i="5"/>
  <c r="W11" i="5"/>
  <c r="W12" i="5"/>
  <c r="W13" i="5"/>
  <c r="W14" i="5"/>
  <c r="W5" i="5"/>
  <c r="V6" i="5"/>
  <c r="V7" i="5"/>
  <c r="V8" i="5"/>
  <c r="V9" i="5"/>
  <c r="V10" i="5"/>
  <c r="V11" i="5"/>
  <c r="V12" i="5"/>
  <c r="V13" i="5"/>
  <c r="V14" i="5"/>
  <c r="V5" i="5"/>
  <c r="AQ16" i="5"/>
  <c r="AM16" i="5"/>
  <c r="AI16" i="5"/>
  <c r="AE16" i="5"/>
  <c r="AA16" i="5"/>
  <c r="AR15" i="5"/>
  <c r="AN15" i="5"/>
  <c r="AJ15" i="5"/>
  <c r="AF15" i="5"/>
  <c r="AB15" i="5"/>
  <c r="AR14" i="5"/>
  <c r="AN14" i="5"/>
  <c r="AJ14" i="5"/>
  <c r="AF14" i="5"/>
  <c r="AB14" i="5"/>
  <c r="AR13" i="5"/>
  <c r="AN13" i="5"/>
  <c r="AJ13" i="5"/>
  <c r="AF13" i="5"/>
  <c r="AB13" i="5"/>
  <c r="AR12" i="5"/>
  <c r="AN12" i="5"/>
  <c r="AJ12" i="5"/>
  <c r="AF12" i="5"/>
  <c r="AB12" i="5"/>
  <c r="AR11" i="5"/>
  <c r="AN11" i="5"/>
  <c r="AJ11" i="5"/>
  <c r="AF11" i="5"/>
  <c r="AB11" i="5"/>
  <c r="AR10" i="5"/>
  <c r="AN10" i="5"/>
  <c r="AJ10" i="5"/>
  <c r="AF10" i="5"/>
  <c r="AB10" i="5"/>
  <c r="AR9" i="5"/>
  <c r="AN9" i="5"/>
  <c r="AJ9" i="5"/>
  <c r="AF9" i="5"/>
  <c r="AB9" i="5"/>
  <c r="AR8" i="5"/>
  <c r="AN8" i="5"/>
  <c r="AJ8" i="5"/>
  <c r="AF8" i="5"/>
  <c r="AB8" i="5"/>
  <c r="AR7" i="5"/>
  <c r="AR16" i="5" s="1"/>
  <c r="AR17" i="5" s="1"/>
  <c r="AR18" i="5" s="1"/>
  <c r="AN7" i="5"/>
  <c r="AN16" i="5" s="1"/>
  <c r="AN17" i="5" s="1"/>
  <c r="AN18" i="5" s="1"/>
  <c r="AJ7" i="5"/>
  <c r="AF7" i="5"/>
  <c r="AB7" i="5"/>
  <c r="AR6" i="5"/>
  <c r="AN6" i="5"/>
  <c r="AJ6" i="5"/>
  <c r="AF6" i="5"/>
  <c r="AB6" i="5"/>
  <c r="AR5" i="5"/>
  <c r="AN5" i="5"/>
  <c r="AJ5" i="5"/>
  <c r="AJ16" i="5" s="1"/>
  <c r="AJ17" i="5" s="1"/>
  <c r="AJ18" i="5" s="1"/>
  <c r="AF5" i="5"/>
  <c r="AF16" i="5" s="1"/>
  <c r="AF17" i="5" s="1"/>
  <c r="AF18" i="5" s="1"/>
  <c r="AB5" i="5"/>
  <c r="AB16" i="5" s="1"/>
  <c r="AB17" i="5" s="1"/>
  <c r="AB18" i="5" s="1"/>
  <c r="AR17" i="4"/>
  <c r="AR18" i="4" s="1"/>
  <c r="AR19" i="4" s="1"/>
  <c r="AQ17" i="4"/>
  <c r="AM17" i="4"/>
  <c r="AI17" i="4"/>
  <c r="AE17" i="4"/>
  <c r="AA17" i="4"/>
  <c r="AR16" i="4"/>
  <c r="AN16" i="4"/>
  <c r="AJ16" i="4"/>
  <c r="AF16" i="4"/>
  <c r="AB16" i="4"/>
  <c r="AR15" i="4"/>
  <c r="AN15" i="4"/>
  <c r="AJ15" i="4"/>
  <c r="AF15" i="4"/>
  <c r="AB15" i="4"/>
  <c r="AR14" i="4"/>
  <c r="AN14" i="4"/>
  <c r="AJ14" i="4"/>
  <c r="AF14" i="4"/>
  <c r="AB14" i="4"/>
  <c r="AR13" i="4"/>
  <c r="AN13" i="4"/>
  <c r="AJ13" i="4"/>
  <c r="AF13" i="4"/>
  <c r="AB13" i="4"/>
  <c r="AR12" i="4"/>
  <c r="AN12" i="4"/>
  <c r="AJ12" i="4"/>
  <c r="AF12" i="4"/>
  <c r="AB12" i="4"/>
  <c r="AR11" i="4"/>
  <c r="AN11" i="4"/>
  <c r="AJ11" i="4"/>
  <c r="AF11" i="4"/>
  <c r="AB11" i="4"/>
  <c r="AR10" i="4"/>
  <c r="AN10" i="4"/>
  <c r="AJ10" i="4"/>
  <c r="AF10" i="4"/>
  <c r="AB10" i="4"/>
  <c r="AR9" i="4"/>
  <c r="AN9" i="4"/>
  <c r="AJ9" i="4"/>
  <c r="AF9" i="4"/>
  <c r="AB9" i="4"/>
  <c r="AR8" i="4"/>
  <c r="AN8" i="4"/>
  <c r="AJ8" i="4"/>
  <c r="AF8" i="4"/>
  <c r="AB8" i="4"/>
  <c r="AR7" i="4"/>
  <c r="AN7" i="4"/>
  <c r="AJ7" i="4"/>
  <c r="AF7" i="4"/>
  <c r="AB7" i="4"/>
  <c r="AR6" i="4"/>
  <c r="AN6" i="4"/>
  <c r="AJ6" i="4"/>
  <c r="AF6" i="4"/>
  <c r="AF17" i="4" s="1"/>
  <c r="AF18" i="4" s="1"/>
  <c r="AF19" i="4" s="1"/>
  <c r="AB6" i="4"/>
  <c r="AR5" i="4"/>
  <c r="AN5" i="4"/>
  <c r="AN17" i="4" s="1"/>
  <c r="AN18" i="4" s="1"/>
  <c r="AN19" i="4" s="1"/>
  <c r="AJ5" i="4"/>
  <c r="AJ17" i="4" s="1"/>
  <c r="AJ18" i="4" s="1"/>
  <c r="AJ19" i="4" s="1"/>
  <c r="AF5" i="4"/>
  <c r="AB5" i="4"/>
  <c r="AB17" i="4" s="1"/>
  <c r="AB18" i="4" s="1"/>
  <c r="AB19" i="4" s="1"/>
  <c r="AP16" i="3"/>
  <c r="AL16" i="3"/>
  <c r="AH16" i="3"/>
  <c r="AD16" i="3"/>
  <c r="Z16" i="3"/>
  <c r="AQ15" i="3"/>
  <c r="AM15" i="3"/>
  <c r="AI15" i="3"/>
  <c r="AE15" i="3"/>
  <c r="AA15" i="3"/>
  <c r="AQ14" i="3"/>
  <c r="AM14" i="3"/>
  <c r="AI14" i="3"/>
  <c r="AE14" i="3"/>
  <c r="AA14" i="3"/>
  <c r="AQ13" i="3"/>
  <c r="AM13" i="3"/>
  <c r="AI13" i="3"/>
  <c r="AE13" i="3"/>
  <c r="AA13" i="3"/>
  <c r="AQ12" i="3"/>
  <c r="AM12" i="3"/>
  <c r="AI12" i="3"/>
  <c r="AE12" i="3"/>
  <c r="AA12" i="3"/>
  <c r="AQ11" i="3"/>
  <c r="AM11" i="3"/>
  <c r="AI11" i="3"/>
  <c r="AE11" i="3"/>
  <c r="AA11" i="3"/>
  <c r="AQ10" i="3"/>
  <c r="AM10" i="3"/>
  <c r="AI10" i="3"/>
  <c r="AE10" i="3"/>
  <c r="AA10" i="3"/>
  <c r="AQ9" i="3"/>
  <c r="AM9" i="3"/>
  <c r="AI9" i="3"/>
  <c r="AE9" i="3"/>
  <c r="AA9" i="3"/>
  <c r="AQ8" i="3"/>
  <c r="AM8" i="3"/>
  <c r="AI8" i="3"/>
  <c r="AE8" i="3"/>
  <c r="AA8" i="3"/>
  <c r="AQ7" i="3"/>
  <c r="AQ16" i="3" s="1"/>
  <c r="AQ17" i="3" s="1"/>
  <c r="AQ18" i="3" s="1"/>
  <c r="AM7" i="3"/>
  <c r="AM16" i="3" s="1"/>
  <c r="AM17" i="3" s="1"/>
  <c r="AM18" i="3" s="1"/>
  <c r="AI7" i="3"/>
  <c r="AE7" i="3"/>
  <c r="AA7" i="3"/>
  <c r="AQ6" i="3"/>
  <c r="AM6" i="3"/>
  <c r="AI6" i="3"/>
  <c r="AE6" i="3"/>
  <c r="AA6" i="3"/>
  <c r="AQ5" i="3"/>
  <c r="AM5" i="3"/>
  <c r="AI5" i="3"/>
  <c r="AI16" i="3" s="1"/>
  <c r="AI17" i="3" s="1"/>
  <c r="AI18" i="3" s="1"/>
  <c r="AE5" i="3"/>
  <c r="AE16" i="3" s="1"/>
  <c r="AE17" i="3" s="1"/>
  <c r="AE18" i="3" s="1"/>
  <c r="AA5" i="3"/>
  <c r="AA16" i="3" s="1"/>
  <c r="AA17" i="3" s="1"/>
  <c r="AA18" i="3" s="1"/>
  <c r="AP14" i="2"/>
  <c r="AL14" i="2"/>
  <c r="AH14" i="2"/>
  <c r="AD14" i="2"/>
  <c r="Z14" i="2"/>
  <c r="AQ13" i="2"/>
  <c r="AM13" i="2"/>
  <c r="AI13" i="2"/>
  <c r="AE13" i="2"/>
  <c r="AA13" i="2"/>
  <c r="AQ12" i="2"/>
  <c r="AM12" i="2"/>
  <c r="AI12" i="2"/>
  <c r="AE12" i="2"/>
  <c r="AA12" i="2"/>
  <c r="AQ11" i="2"/>
  <c r="AM11" i="2"/>
  <c r="AI11" i="2"/>
  <c r="AE11" i="2"/>
  <c r="AA11" i="2"/>
  <c r="AQ10" i="2"/>
  <c r="AM10" i="2"/>
  <c r="AI10" i="2"/>
  <c r="AE10" i="2"/>
  <c r="AA10" i="2"/>
  <c r="AQ9" i="2"/>
  <c r="AM9" i="2"/>
  <c r="AI9" i="2"/>
  <c r="AE9" i="2"/>
  <c r="AA9" i="2"/>
  <c r="AQ8" i="2"/>
  <c r="AM8" i="2"/>
  <c r="AI8" i="2"/>
  <c r="AE8" i="2"/>
  <c r="AA8" i="2"/>
  <c r="AQ7" i="2"/>
  <c r="AM7" i="2"/>
  <c r="AI7" i="2"/>
  <c r="AE7" i="2"/>
  <c r="AA7" i="2"/>
  <c r="AQ6" i="2"/>
  <c r="AM6" i="2"/>
  <c r="AI6" i="2"/>
  <c r="AE6" i="2"/>
  <c r="AA6" i="2"/>
  <c r="AQ5" i="2"/>
  <c r="AQ14" i="2" s="1"/>
  <c r="AQ15" i="2" s="1"/>
  <c r="AQ16" i="2" s="1"/>
  <c r="AM5" i="2"/>
  <c r="AM14" i="2" s="1"/>
  <c r="AM15" i="2" s="1"/>
  <c r="AM16" i="2" s="1"/>
  <c r="AI5" i="2"/>
  <c r="AI14" i="2" s="1"/>
  <c r="AI15" i="2" s="1"/>
  <c r="AI16" i="2" s="1"/>
  <c r="AE5" i="2"/>
  <c r="AE14" i="2" s="1"/>
  <c r="AE15" i="2" s="1"/>
  <c r="AE16" i="2" s="1"/>
  <c r="AA5" i="2"/>
  <c r="AA14" i="2" s="1"/>
  <c r="AA15" i="2" s="1"/>
  <c r="AA16" i="2" s="1"/>
  <c r="G20" i="5"/>
  <c r="S15" i="5"/>
  <c r="O15" i="5"/>
  <c r="K15" i="5"/>
  <c r="G15" i="5"/>
  <c r="C15" i="5"/>
  <c r="T14" i="5"/>
  <c r="P14" i="5"/>
  <c r="L14" i="5"/>
  <c r="H14" i="5"/>
  <c r="D14" i="5"/>
  <c r="T13" i="5"/>
  <c r="P13" i="5"/>
  <c r="L13" i="5"/>
  <c r="H13" i="5"/>
  <c r="D13" i="5"/>
  <c r="T12" i="5"/>
  <c r="P12" i="5"/>
  <c r="L12" i="5"/>
  <c r="H12" i="5"/>
  <c r="D12" i="5"/>
  <c r="T11" i="5"/>
  <c r="P11" i="5"/>
  <c r="L11" i="5"/>
  <c r="H11" i="5"/>
  <c r="D11" i="5"/>
  <c r="T10" i="5"/>
  <c r="P10" i="5"/>
  <c r="L10" i="5"/>
  <c r="H10" i="5"/>
  <c r="D10" i="5"/>
  <c r="T9" i="5"/>
  <c r="P9" i="5"/>
  <c r="L9" i="5"/>
  <c r="H9" i="5"/>
  <c r="D9" i="5"/>
  <c r="T8" i="5"/>
  <c r="P8" i="5"/>
  <c r="L8" i="5"/>
  <c r="H8" i="5"/>
  <c r="D8" i="5"/>
  <c r="T7" i="5"/>
  <c r="P7" i="5"/>
  <c r="L7" i="5"/>
  <c r="H7" i="5"/>
  <c r="D7" i="5"/>
  <c r="T6" i="5"/>
  <c r="P6" i="5"/>
  <c r="L6" i="5"/>
  <c r="H6" i="5"/>
  <c r="D6" i="5"/>
  <c r="T5" i="5"/>
  <c r="T15" i="5" s="1"/>
  <c r="T16" i="5" s="1"/>
  <c r="T17" i="5" s="1"/>
  <c r="P5" i="5"/>
  <c r="P15" i="5" s="1"/>
  <c r="P16" i="5" s="1"/>
  <c r="P17" i="5" s="1"/>
  <c r="L5" i="5"/>
  <c r="L15" i="5" s="1"/>
  <c r="L16" i="5" s="1"/>
  <c r="L17" i="5" s="1"/>
  <c r="H5" i="5"/>
  <c r="H15" i="5" s="1"/>
  <c r="H16" i="5" s="1"/>
  <c r="H17" i="5" s="1"/>
  <c r="D5" i="5"/>
  <c r="D15" i="5" s="1"/>
  <c r="D16" i="5" s="1"/>
  <c r="D17" i="5" s="1"/>
  <c r="G18" i="4"/>
  <c r="S13" i="4"/>
  <c r="O13" i="4"/>
  <c r="K13" i="4"/>
  <c r="G13" i="4"/>
  <c r="C13" i="4"/>
  <c r="T12" i="4"/>
  <c r="P12" i="4"/>
  <c r="L12" i="4"/>
  <c r="H12" i="4"/>
  <c r="D12" i="4"/>
  <c r="T11" i="4"/>
  <c r="P11" i="4"/>
  <c r="L11" i="4"/>
  <c r="H11" i="4"/>
  <c r="D11" i="4"/>
  <c r="T10" i="4"/>
  <c r="P10" i="4"/>
  <c r="L10" i="4"/>
  <c r="H10" i="4"/>
  <c r="D10" i="4"/>
  <c r="D13" i="4" s="1"/>
  <c r="D14" i="4" s="1"/>
  <c r="D15" i="4" s="1"/>
  <c r="C18" i="4" s="1"/>
  <c r="T9" i="4"/>
  <c r="P9" i="4"/>
  <c r="L9" i="4"/>
  <c r="H9" i="4"/>
  <c r="D9" i="4"/>
  <c r="T8" i="4"/>
  <c r="P8" i="4"/>
  <c r="L8" i="4"/>
  <c r="H8" i="4"/>
  <c r="D8" i="4"/>
  <c r="T7" i="4"/>
  <c r="P7" i="4"/>
  <c r="L7" i="4"/>
  <c r="H7" i="4"/>
  <c r="D7" i="4"/>
  <c r="T6" i="4"/>
  <c r="T13" i="4" s="1"/>
  <c r="T14" i="4" s="1"/>
  <c r="T15" i="4" s="1"/>
  <c r="P6" i="4"/>
  <c r="P13" i="4" s="1"/>
  <c r="P14" i="4" s="1"/>
  <c r="P15" i="4" s="1"/>
  <c r="L6" i="4"/>
  <c r="L13" i="4" s="1"/>
  <c r="L14" i="4" s="1"/>
  <c r="L15" i="4" s="1"/>
  <c r="H6" i="4"/>
  <c r="D6" i="4"/>
  <c r="T5" i="4"/>
  <c r="P5" i="4"/>
  <c r="L5" i="4"/>
  <c r="H5" i="4"/>
  <c r="H13" i="4" s="1"/>
  <c r="H14" i="4" s="1"/>
  <c r="H15" i="4" s="1"/>
  <c r="D5" i="4"/>
  <c r="G17" i="3"/>
  <c r="S12" i="3"/>
  <c r="O12" i="3"/>
  <c r="K12" i="3"/>
  <c r="G12" i="3"/>
  <c r="C12" i="3"/>
  <c r="T11" i="3"/>
  <c r="P11" i="3"/>
  <c r="L11" i="3"/>
  <c r="H11" i="3"/>
  <c r="D11" i="3"/>
  <c r="T10" i="3"/>
  <c r="P10" i="3"/>
  <c r="L10" i="3"/>
  <c r="H10" i="3"/>
  <c r="D10" i="3"/>
  <c r="D12" i="3" s="1"/>
  <c r="D13" i="3" s="1"/>
  <c r="D14" i="3" s="1"/>
  <c r="T9" i="3"/>
  <c r="P9" i="3"/>
  <c r="L9" i="3"/>
  <c r="H9" i="3"/>
  <c r="D9" i="3"/>
  <c r="T8" i="3"/>
  <c r="P8" i="3"/>
  <c r="L8" i="3"/>
  <c r="H8" i="3"/>
  <c r="D8" i="3"/>
  <c r="T7" i="3"/>
  <c r="P7" i="3"/>
  <c r="L7" i="3"/>
  <c r="H7" i="3"/>
  <c r="D7" i="3"/>
  <c r="T6" i="3"/>
  <c r="P6" i="3"/>
  <c r="L6" i="3"/>
  <c r="H6" i="3"/>
  <c r="D6" i="3"/>
  <c r="T5" i="3"/>
  <c r="T12" i="3" s="1"/>
  <c r="T13" i="3" s="1"/>
  <c r="T14" i="3" s="1"/>
  <c r="P5" i="3"/>
  <c r="P12" i="3" s="1"/>
  <c r="P13" i="3" s="1"/>
  <c r="P14" i="3" s="1"/>
  <c r="L5" i="3"/>
  <c r="L12" i="3" s="1"/>
  <c r="L13" i="3" s="1"/>
  <c r="L14" i="3" s="1"/>
  <c r="H5" i="3"/>
  <c r="H12" i="3" s="1"/>
  <c r="H13" i="3" s="1"/>
  <c r="H14" i="3" s="1"/>
  <c r="D5" i="3"/>
  <c r="G16" i="2"/>
  <c r="T11" i="2"/>
  <c r="T12" i="2" s="1"/>
  <c r="T13" i="2" s="1"/>
  <c r="S11" i="2"/>
  <c r="O11" i="2"/>
  <c r="K11" i="2"/>
  <c r="G11" i="2"/>
  <c r="C11" i="2"/>
  <c r="T10" i="2"/>
  <c r="P10" i="2"/>
  <c r="L10" i="2"/>
  <c r="H10" i="2"/>
  <c r="D10" i="2"/>
  <c r="T9" i="2"/>
  <c r="P9" i="2"/>
  <c r="L9" i="2"/>
  <c r="H9" i="2"/>
  <c r="D9" i="2"/>
  <c r="T8" i="2"/>
  <c r="P8" i="2"/>
  <c r="L8" i="2"/>
  <c r="H8" i="2"/>
  <c r="D8" i="2"/>
  <c r="D11" i="2" s="1"/>
  <c r="D12" i="2" s="1"/>
  <c r="D13" i="2" s="1"/>
  <c r="T7" i="2"/>
  <c r="P7" i="2"/>
  <c r="L7" i="2"/>
  <c r="H7" i="2"/>
  <c r="D7" i="2"/>
  <c r="T6" i="2"/>
  <c r="P6" i="2"/>
  <c r="L6" i="2"/>
  <c r="H6" i="2"/>
  <c r="D6" i="2"/>
  <c r="T5" i="2"/>
  <c r="P5" i="2"/>
  <c r="P11" i="2" s="1"/>
  <c r="P12" i="2" s="1"/>
  <c r="P13" i="2" s="1"/>
  <c r="L5" i="2"/>
  <c r="L11" i="2" s="1"/>
  <c r="L12" i="2" s="1"/>
  <c r="L13" i="2" s="1"/>
  <c r="H5" i="2"/>
  <c r="H11" i="2" s="1"/>
  <c r="H12" i="2" s="1"/>
  <c r="H13" i="2" s="1"/>
  <c r="D5" i="2"/>
  <c r="AA21" i="5" l="1"/>
  <c r="AA23" i="5" s="1"/>
  <c r="AA22" i="4"/>
  <c r="AA24" i="4" s="1"/>
  <c r="Z21" i="3"/>
  <c r="Z23" i="3" s="1"/>
  <c r="Z19" i="2"/>
  <c r="C20" i="4"/>
  <c r="C20" i="5"/>
  <c r="C17" i="3"/>
  <c r="C19" i="3" s="1"/>
  <c r="C16" i="2"/>
  <c r="C18" i="2" s="1"/>
  <c r="C22" i="5"/>
</calcChain>
</file>

<file path=xl/sharedStrings.xml><?xml version="1.0" encoding="utf-8"?>
<sst xmlns="http://schemas.openxmlformats.org/spreadsheetml/2006/main" count="323" uniqueCount="31">
  <si>
    <t>Peak 1 – EP1 – All Trials</t>
  </si>
  <si>
    <t>Trial 1</t>
  </si>
  <si>
    <t>Trial 2</t>
  </si>
  <si>
    <t>Trial 3</t>
  </si>
  <si>
    <t>Trial 4</t>
  </si>
  <si>
    <t>Trial 5</t>
  </si>
  <si>
    <t>Detector angle</t>
  </si>
  <si>
    <t>Rate at 35kV</t>
  </si>
  <si>
    <t>angle*impulse</t>
  </si>
  <si>
    <t>2*theta/�</t>
  </si>
  <si>
    <t>R(35kV)/Imp/s</t>
  </si>
  <si>
    <t xml:space="preserve">Peaks (in degree) (2*theta)= </t>
  </si>
  <si>
    <t xml:space="preserve">THETA in radian = </t>
  </si>
  <si>
    <t xml:space="preserve">avg = </t>
  </si>
  <si>
    <t xml:space="preserve">lambda = </t>
  </si>
  <si>
    <t>d= n*lambda / 2* sin theta</t>
  </si>
  <si>
    <t xml:space="preserve">in angstorm </t>
  </si>
  <si>
    <t>Wide Scan – EP1</t>
  </si>
  <si>
    <t>Peak 2 – EP1 – All Trials</t>
  </si>
  <si>
    <t>2*theta/°</t>
  </si>
  <si>
    <t>angle×rate</t>
  </si>
  <si>
    <t>Peak 3 – EP1 – All Trials</t>
  </si>
  <si>
    <t>Peak 4 – EP1 – All Trials</t>
  </si>
  <si>
    <t>2*theta/deg</t>
  </si>
  <si>
    <t xml:space="preserve">ROUND 2 </t>
  </si>
  <si>
    <t>mean impulse</t>
  </si>
  <si>
    <t>*angle</t>
  </si>
  <si>
    <t>d from mean readings=</t>
  </si>
  <si>
    <t xml:space="preserve">Standard dev in 2 theta </t>
  </si>
  <si>
    <t xml:space="preserve">mean 2 theta= </t>
  </si>
  <si>
    <t xml:space="preserve">relative error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</si>
</sst>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AF2FB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AF2FB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1" fillId="4" borderId="2" xfId="0" applyFont="1" applyFill="1" applyBorder="1" applyAlignment="1">
      <alignment horizontal="center" vertical="center"/>
    </xf>
    <xf numFmtId="0" fontId="0" fillId="0" borderId="0" xfId="0"/>
    <xf numFmtId="0" fontId="4" fillId="7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9" borderId="5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NumberFormat="1" applyFont="1"/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right"/>
    </xf>
    <xf numFmtId="0" fontId="7" fillId="8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Widescan!$A$4:$A$254</c:f>
              <c:numCache>
                <c:formatCode>General</c:formatCode>
                <c:ptCount val="251"/>
                <c:pt idx="0">
                  <c:v>10</c:v>
                </c:pt>
                <c:pt idx="1">
                  <c:v>10.3</c:v>
                </c:pt>
                <c:pt idx="2">
                  <c:v>10.8</c:v>
                </c:pt>
                <c:pt idx="3">
                  <c:v>11.2</c:v>
                </c:pt>
                <c:pt idx="4">
                  <c:v>11.6</c:v>
                </c:pt>
                <c:pt idx="5">
                  <c:v>12</c:v>
                </c:pt>
                <c:pt idx="6">
                  <c:v>12.4</c:v>
                </c:pt>
                <c:pt idx="7">
                  <c:v>12.8</c:v>
                </c:pt>
                <c:pt idx="8">
                  <c:v>13.2</c:v>
                </c:pt>
                <c:pt idx="9">
                  <c:v>13.6</c:v>
                </c:pt>
                <c:pt idx="10">
                  <c:v>14</c:v>
                </c:pt>
                <c:pt idx="11">
                  <c:v>14.4</c:v>
                </c:pt>
                <c:pt idx="12">
                  <c:v>14.8</c:v>
                </c:pt>
                <c:pt idx="13">
                  <c:v>15.2</c:v>
                </c:pt>
                <c:pt idx="14">
                  <c:v>15.6</c:v>
                </c:pt>
                <c:pt idx="15">
                  <c:v>16</c:v>
                </c:pt>
                <c:pt idx="16">
                  <c:v>16.399999999999999</c:v>
                </c:pt>
                <c:pt idx="17">
                  <c:v>16.7</c:v>
                </c:pt>
                <c:pt idx="18">
                  <c:v>17.2</c:v>
                </c:pt>
                <c:pt idx="19">
                  <c:v>17.600000000000001</c:v>
                </c:pt>
                <c:pt idx="20">
                  <c:v>18</c:v>
                </c:pt>
                <c:pt idx="21">
                  <c:v>18.399999999999999</c:v>
                </c:pt>
                <c:pt idx="22">
                  <c:v>18.7</c:v>
                </c:pt>
                <c:pt idx="23">
                  <c:v>19.2</c:v>
                </c:pt>
                <c:pt idx="24">
                  <c:v>19.600000000000001</c:v>
                </c:pt>
                <c:pt idx="25">
                  <c:v>20</c:v>
                </c:pt>
                <c:pt idx="26">
                  <c:v>20.399999999999999</c:v>
                </c:pt>
                <c:pt idx="27">
                  <c:v>20.7</c:v>
                </c:pt>
                <c:pt idx="28">
                  <c:v>21.2</c:v>
                </c:pt>
                <c:pt idx="29">
                  <c:v>21.6</c:v>
                </c:pt>
                <c:pt idx="30">
                  <c:v>22</c:v>
                </c:pt>
                <c:pt idx="31">
                  <c:v>22.4</c:v>
                </c:pt>
                <c:pt idx="32">
                  <c:v>22.7</c:v>
                </c:pt>
                <c:pt idx="33">
                  <c:v>23.2</c:v>
                </c:pt>
                <c:pt idx="34">
                  <c:v>23.6</c:v>
                </c:pt>
                <c:pt idx="35">
                  <c:v>24</c:v>
                </c:pt>
                <c:pt idx="36">
                  <c:v>24.4</c:v>
                </c:pt>
                <c:pt idx="37">
                  <c:v>24.8</c:v>
                </c:pt>
                <c:pt idx="38">
                  <c:v>25.2</c:v>
                </c:pt>
                <c:pt idx="39">
                  <c:v>25.6</c:v>
                </c:pt>
                <c:pt idx="40">
                  <c:v>26</c:v>
                </c:pt>
                <c:pt idx="41">
                  <c:v>26.4</c:v>
                </c:pt>
                <c:pt idx="42">
                  <c:v>26.8</c:v>
                </c:pt>
                <c:pt idx="43">
                  <c:v>27.2</c:v>
                </c:pt>
                <c:pt idx="44">
                  <c:v>27.6</c:v>
                </c:pt>
                <c:pt idx="45">
                  <c:v>28</c:v>
                </c:pt>
                <c:pt idx="46">
                  <c:v>28.4</c:v>
                </c:pt>
                <c:pt idx="47">
                  <c:v>28.8</c:v>
                </c:pt>
                <c:pt idx="48">
                  <c:v>29.2</c:v>
                </c:pt>
                <c:pt idx="49">
                  <c:v>29.6</c:v>
                </c:pt>
                <c:pt idx="50">
                  <c:v>30</c:v>
                </c:pt>
                <c:pt idx="51">
                  <c:v>30.4</c:v>
                </c:pt>
                <c:pt idx="52">
                  <c:v>30.8</c:v>
                </c:pt>
                <c:pt idx="53">
                  <c:v>31.2</c:v>
                </c:pt>
                <c:pt idx="54">
                  <c:v>31.6</c:v>
                </c:pt>
                <c:pt idx="55">
                  <c:v>32</c:v>
                </c:pt>
                <c:pt idx="56">
                  <c:v>32.4</c:v>
                </c:pt>
                <c:pt idx="57">
                  <c:v>32.799999999999997</c:v>
                </c:pt>
                <c:pt idx="58">
                  <c:v>33.200000000000003</c:v>
                </c:pt>
                <c:pt idx="59">
                  <c:v>33.5</c:v>
                </c:pt>
                <c:pt idx="60">
                  <c:v>34</c:v>
                </c:pt>
                <c:pt idx="61">
                  <c:v>34.4</c:v>
                </c:pt>
                <c:pt idx="62">
                  <c:v>34.799999999999997</c:v>
                </c:pt>
                <c:pt idx="63">
                  <c:v>35.200000000000003</c:v>
                </c:pt>
                <c:pt idx="64">
                  <c:v>35.5</c:v>
                </c:pt>
                <c:pt idx="65">
                  <c:v>36</c:v>
                </c:pt>
                <c:pt idx="66">
                  <c:v>36.4</c:v>
                </c:pt>
                <c:pt idx="67">
                  <c:v>36.799999999999997</c:v>
                </c:pt>
                <c:pt idx="68">
                  <c:v>37.200000000000003</c:v>
                </c:pt>
                <c:pt idx="69">
                  <c:v>37.5</c:v>
                </c:pt>
                <c:pt idx="70">
                  <c:v>38</c:v>
                </c:pt>
                <c:pt idx="71">
                  <c:v>38.4</c:v>
                </c:pt>
                <c:pt idx="72">
                  <c:v>38.799999999999997</c:v>
                </c:pt>
                <c:pt idx="73">
                  <c:v>39.200000000000003</c:v>
                </c:pt>
                <c:pt idx="74">
                  <c:v>39.5</c:v>
                </c:pt>
                <c:pt idx="75">
                  <c:v>40</c:v>
                </c:pt>
                <c:pt idx="76">
                  <c:v>40.4</c:v>
                </c:pt>
                <c:pt idx="77">
                  <c:v>40.799999999999997</c:v>
                </c:pt>
                <c:pt idx="78">
                  <c:v>41.2</c:v>
                </c:pt>
                <c:pt idx="79">
                  <c:v>41.5</c:v>
                </c:pt>
                <c:pt idx="80">
                  <c:v>42</c:v>
                </c:pt>
                <c:pt idx="81">
                  <c:v>42.4</c:v>
                </c:pt>
                <c:pt idx="82">
                  <c:v>42.8</c:v>
                </c:pt>
                <c:pt idx="83">
                  <c:v>43.2</c:v>
                </c:pt>
                <c:pt idx="84">
                  <c:v>43.5</c:v>
                </c:pt>
                <c:pt idx="85">
                  <c:v>44</c:v>
                </c:pt>
                <c:pt idx="86">
                  <c:v>44.4</c:v>
                </c:pt>
                <c:pt idx="87">
                  <c:v>44.8</c:v>
                </c:pt>
                <c:pt idx="88">
                  <c:v>45.2</c:v>
                </c:pt>
                <c:pt idx="89">
                  <c:v>45.5</c:v>
                </c:pt>
                <c:pt idx="90">
                  <c:v>46</c:v>
                </c:pt>
                <c:pt idx="91">
                  <c:v>46.4</c:v>
                </c:pt>
                <c:pt idx="92">
                  <c:v>46.8</c:v>
                </c:pt>
                <c:pt idx="93">
                  <c:v>47.2</c:v>
                </c:pt>
                <c:pt idx="94">
                  <c:v>47.5</c:v>
                </c:pt>
                <c:pt idx="95">
                  <c:v>48</c:v>
                </c:pt>
                <c:pt idx="96">
                  <c:v>48.4</c:v>
                </c:pt>
                <c:pt idx="97">
                  <c:v>48.8</c:v>
                </c:pt>
                <c:pt idx="98">
                  <c:v>49.2</c:v>
                </c:pt>
                <c:pt idx="99">
                  <c:v>49.6</c:v>
                </c:pt>
                <c:pt idx="100">
                  <c:v>50</c:v>
                </c:pt>
                <c:pt idx="101">
                  <c:v>50.4</c:v>
                </c:pt>
                <c:pt idx="102">
                  <c:v>50.8</c:v>
                </c:pt>
                <c:pt idx="103">
                  <c:v>51.2</c:v>
                </c:pt>
                <c:pt idx="104">
                  <c:v>51.6</c:v>
                </c:pt>
                <c:pt idx="105">
                  <c:v>52</c:v>
                </c:pt>
                <c:pt idx="106">
                  <c:v>52.4</c:v>
                </c:pt>
                <c:pt idx="107">
                  <c:v>52.8</c:v>
                </c:pt>
                <c:pt idx="108">
                  <c:v>53.2</c:v>
                </c:pt>
                <c:pt idx="109">
                  <c:v>53.6</c:v>
                </c:pt>
                <c:pt idx="110">
                  <c:v>54</c:v>
                </c:pt>
                <c:pt idx="111">
                  <c:v>54.4</c:v>
                </c:pt>
                <c:pt idx="112">
                  <c:v>54.8</c:v>
                </c:pt>
                <c:pt idx="113">
                  <c:v>55.2</c:v>
                </c:pt>
                <c:pt idx="114">
                  <c:v>55.6</c:v>
                </c:pt>
                <c:pt idx="115">
                  <c:v>56</c:v>
                </c:pt>
                <c:pt idx="116">
                  <c:v>56.4</c:v>
                </c:pt>
                <c:pt idx="117">
                  <c:v>56.8</c:v>
                </c:pt>
                <c:pt idx="118">
                  <c:v>57.2</c:v>
                </c:pt>
                <c:pt idx="119">
                  <c:v>57.6</c:v>
                </c:pt>
                <c:pt idx="120">
                  <c:v>58</c:v>
                </c:pt>
                <c:pt idx="121">
                  <c:v>58.4</c:v>
                </c:pt>
                <c:pt idx="122">
                  <c:v>58.8</c:v>
                </c:pt>
                <c:pt idx="123">
                  <c:v>59.2</c:v>
                </c:pt>
                <c:pt idx="124">
                  <c:v>59.6</c:v>
                </c:pt>
                <c:pt idx="125">
                  <c:v>60</c:v>
                </c:pt>
                <c:pt idx="126">
                  <c:v>60.4</c:v>
                </c:pt>
                <c:pt idx="127">
                  <c:v>60.8</c:v>
                </c:pt>
                <c:pt idx="128">
                  <c:v>61.2</c:v>
                </c:pt>
                <c:pt idx="129">
                  <c:v>61.6</c:v>
                </c:pt>
                <c:pt idx="130">
                  <c:v>62</c:v>
                </c:pt>
                <c:pt idx="131">
                  <c:v>62.4</c:v>
                </c:pt>
                <c:pt idx="132">
                  <c:v>62.8</c:v>
                </c:pt>
                <c:pt idx="133">
                  <c:v>63.2</c:v>
                </c:pt>
                <c:pt idx="134">
                  <c:v>63.6</c:v>
                </c:pt>
                <c:pt idx="135">
                  <c:v>64</c:v>
                </c:pt>
                <c:pt idx="136">
                  <c:v>64.400000000000006</c:v>
                </c:pt>
                <c:pt idx="137">
                  <c:v>64.8</c:v>
                </c:pt>
                <c:pt idx="138">
                  <c:v>65.099999999999994</c:v>
                </c:pt>
                <c:pt idx="139">
                  <c:v>65.599999999999994</c:v>
                </c:pt>
                <c:pt idx="140">
                  <c:v>66</c:v>
                </c:pt>
                <c:pt idx="141">
                  <c:v>66.400000000000006</c:v>
                </c:pt>
                <c:pt idx="142">
                  <c:v>66.8</c:v>
                </c:pt>
                <c:pt idx="143">
                  <c:v>67.099999999999994</c:v>
                </c:pt>
                <c:pt idx="144">
                  <c:v>67.599999999999994</c:v>
                </c:pt>
                <c:pt idx="145">
                  <c:v>68</c:v>
                </c:pt>
                <c:pt idx="146">
                  <c:v>68.400000000000006</c:v>
                </c:pt>
                <c:pt idx="147">
                  <c:v>68.8</c:v>
                </c:pt>
                <c:pt idx="148">
                  <c:v>69.099999999999994</c:v>
                </c:pt>
                <c:pt idx="149">
                  <c:v>69.599999999999994</c:v>
                </c:pt>
                <c:pt idx="150">
                  <c:v>70</c:v>
                </c:pt>
                <c:pt idx="151">
                  <c:v>70.400000000000006</c:v>
                </c:pt>
                <c:pt idx="152">
                  <c:v>70.8</c:v>
                </c:pt>
                <c:pt idx="153">
                  <c:v>71.099999999999994</c:v>
                </c:pt>
                <c:pt idx="154">
                  <c:v>71.599999999999994</c:v>
                </c:pt>
                <c:pt idx="155">
                  <c:v>72</c:v>
                </c:pt>
                <c:pt idx="156">
                  <c:v>72.400000000000006</c:v>
                </c:pt>
                <c:pt idx="157">
                  <c:v>72.8</c:v>
                </c:pt>
                <c:pt idx="158">
                  <c:v>73.099999999999994</c:v>
                </c:pt>
                <c:pt idx="159">
                  <c:v>73.599999999999994</c:v>
                </c:pt>
                <c:pt idx="160">
                  <c:v>74</c:v>
                </c:pt>
                <c:pt idx="161">
                  <c:v>74.400000000000006</c:v>
                </c:pt>
                <c:pt idx="162">
                  <c:v>74.8</c:v>
                </c:pt>
                <c:pt idx="163">
                  <c:v>75.099999999999994</c:v>
                </c:pt>
                <c:pt idx="164">
                  <c:v>75.599999999999994</c:v>
                </c:pt>
                <c:pt idx="165">
                  <c:v>76</c:v>
                </c:pt>
                <c:pt idx="166">
                  <c:v>76.400000000000006</c:v>
                </c:pt>
                <c:pt idx="167">
                  <c:v>76.8</c:v>
                </c:pt>
                <c:pt idx="168">
                  <c:v>77.099999999999994</c:v>
                </c:pt>
                <c:pt idx="169">
                  <c:v>77.599999999999994</c:v>
                </c:pt>
                <c:pt idx="170">
                  <c:v>78</c:v>
                </c:pt>
                <c:pt idx="171">
                  <c:v>78.400000000000006</c:v>
                </c:pt>
                <c:pt idx="172">
                  <c:v>78.8</c:v>
                </c:pt>
                <c:pt idx="173">
                  <c:v>79.099999999999994</c:v>
                </c:pt>
                <c:pt idx="174">
                  <c:v>79.599999999999994</c:v>
                </c:pt>
                <c:pt idx="175">
                  <c:v>80</c:v>
                </c:pt>
                <c:pt idx="176">
                  <c:v>80.400000000000006</c:v>
                </c:pt>
                <c:pt idx="177">
                  <c:v>80.8</c:v>
                </c:pt>
                <c:pt idx="178">
                  <c:v>81.099999999999994</c:v>
                </c:pt>
                <c:pt idx="179">
                  <c:v>81.599999999999994</c:v>
                </c:pt>
                <c:pt idx="180">
                  <c:v>82</c:v>
                </c:pt>
                <c:pt idx="181">
                  <c:v>82.4</c:v>
                </c:pt>
                <c:pt idx="182">
                  <c:v>82.8</c:v>
                </c:pt>
                <c:pt idx="183">
                  <c:v>83.1</c:v>
                </c:pt>
                <c:pt idx="184">
                  <c:v>83.6</c:v>
                </c:pt>
                <c:pt idx="185">
                  <c:v>84</c:v>
                </c:pt>
                <c:pt idx="186">
                  <c:v>84.4</c:v>
                </c:pt>
                <c:pt idx="187">
                  <c:v>84.8</c:v>
                </c:pt>
                <c:pt idx="188">
                  <c:v>85.1</c:v>
                </c:pt>
                <c:pt idx="189">
                  <c:v>85.6</c:v>
                </c:pt>
                <c:pt idx="190">
                  <c:v>86</c:v>
                </c:pt>
                <c:pt idx="191">
                  <c:v>86.4</c:v>
                </c:pt>
                <c:pt idx="192">
                  <c:v>86.8</c:v>
                </c:pt>
                <c:pt idx="193">
                  <c:v>87.1</c:v>
                </c:pt>
                <c:pt idx="194">
                  <c:v>87.6</c:v>
                </c:pt>
                <c:pt idx="195">
                  <c:v>88</c:v>
                </c:pt>
                <c:pt idx="196">
                  <c:v>88.4</c:v>
                </c:pt>
                <c:pt idx="197">
                  <c:v>88.8</c:v>
                </c:pt>
                <c:pt idx="198">
                  <c:v>89.1</c:v>
                </c:pt>
                <c:pt idx="199">
                  <c:v>89.6</c:v>
                </c:pt>
                <c:pt idx="200">
                  <c:v>90</c:v>
                </c:pt>
                <c:pt idx="201">
                  <c:v>90.4</c:v>
                </c:pt>
                <c:pt idx="202">
                  <c:v>90.8</c:v>
                </c:pt>
                <c:pt idx="203">
                  <c:v>91.1</c:v>
                </c:pt>
                <c:pt idx="204">
                  <c:v>91.6</c:v>
                </c:pt>
                <c:pt idx="205">
                  <c:v>92</c:v>
                </c:pt>
                <c:pt idx="206">
                  <c:v>92.4</c:v>
                </c:pt>
                <c:pt idx="207">
                  <c:v>92.8</c:v>
                </c:pt>
                <c:pt idx="208">
                  <c:v>93.1</c:v>
                </c:pt>
                <c:pt idx="209">
                  <c:v>93.6</c:v>
                </c:pt>
                <c:pt idx="210">
                  <c:v>94</c:v>
                </c:pt>
                <c:pt idx="211">
                  <c:v>94.4</c:v>
                </c:pt>
                <c:pt idx="212">
                  <c:v>94.8</c:v>
                </c:pt>
                <c:pt idx="213">
                  <c:v>95.1</c:v>
                </c:pt>
                <c:pt idx="214">
                  <c:v>95.6</c:v>
                </c:pt>
                <c:pt idx="215">
                  <c:v>96</c:v>
                </c:pt>
                <c:pt idx="216">
                  <c:v>96.4</c:v>
                </c:pt>
                <c:pt idx="217">
                  <c:v>96.8</c:v>
                </c:pt>
                <c:pt idx="218">
                  <c:v>97.1</c:v>
                </c:pt>
                <c:pt idx="219">
                  <c:v>97.6</c:v>
                </c:pt>
                <c:pt idx="220">
                  <c:v>98</c:v>
                </c:pt>
                <c:pt idx="221">
                  <c:v>98.4</c:v>
                </c:pt>
                <c:pt idx="222">
                  <c:v>98.8</c:v>
                </c:pt>
                <c:pt idx="223">
                  <c:v>99.1</c:v>
                </c:pt>
                <c:pt idx="224">
                  <c:v>99.6</c:v>
                </c:pt>
                <c:pt idx="225">
                  <c:v>100</c:v>
                </c:pt>
                <c:pt idx="226">
                  <c:v>100.4</c:v>
                </c:pt>
                <c:pt idx="227">
                  <c:v>100.8</c:v>
                </c:pt>
                <c:pt idx="228">
                  <c:v>101.2</c:v>
                </c:pt>
                <c:pt idx="229">
                  <c:v>101.6</c:v>
                </c:pt>
                <c:pt idx="230">
                  <c:v>102</c:v>
                </c:pt>
                <c:pt idx="231">
                  <c:v>102.4</c:v>
                </c:pt>
                <c:pt idx="232">
                  <c:v>102.8</c:v>
                </c:pt>
                <c:pt idx="233">
                  <c:v>103.2</c:v>
                </c:pt>
                <c:pt idx="234">
                  <c:v>103.6</c:v>
                </c:pt>
                <c:pt idx="235">
                  <c:v>104</c:v>
                </c:pt>
                <c:pt idx="236">
                  <c:v>104.4</c:v>
                </c:pt>
                <c:pt idx="237">
                  <c:v>104.8</c:v>
                </c:pt>
                <c:pt idx="238">
                  <c:v>105.2</c:v>
                </c:pt>
                <c:pt idx="239">
                  <c:v>105.6</c:v>
                </c:pt>
                <c:pt idx="240">
                  <c:v>106</c:v>
                </c:pt>
                <c:pt idx="241">
                  <c:v>106.4</c:v>
                </c:pt>
                <c:pt idx="242">
                  <c:v>106.8</c:v>
                </c:pt>
                <c:pt idx="243">
                  <c:v>107.2</c:v>
                </c:pt>
                <c:pt idx="244">
                  <c:v>107.6</c:v>
                </c:pt>
                <c:pt idx="245">
                  <c:v>108</c:v>
                </c:pt>
                <c:pt idx="246">
                  <c:v>108.4</c:v>
                </c:pt>
                <c:pt idx="247">
                  <c:v>108.8</c:v>
                </c:pt>
                <c:pt idx="248">
                  <c:v>109.2</c:v>
                </c:pt>
                <c:pt idx="249">
                  <c:v>109.6</c:v>
                </c:pt>
                <c:pt idx="250">
                  <c:v>110</c:v>
                </c:pt>
              </c:numCache>
            </c:numRef>
          </c:xVal>
          <c:yVal>
            <c:numRef>
              <c:f>Widescan!$B$4:$B$254</c:f>
              <c:numCache>
                <c:formatCode>General</c:formatCode>
                <c:ptCount val="251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12</c:v>
                </c:pt>
                <c:pt idx="5">
                  <c:v>19</c:v>
                </c:pt>
                <c:pt idx="6">
                  <c:v>24</c:v>
                </c:pt>
                <c:pt idx="7">
                  <c:v>24</c:v>
                </c:pt>
                <c:pt idx="8">
                  <c:v>32</c:v>
                </c:pt>
                <c:pt idx="9">
                  <c:v>37</c:v>
                </c:pt>
                <c:pt idx="10">
                  <c:v>44</c:v>
                </c:pt>
                <c:pt idx="11">
                  <c:v>38</c:v>
                </c:pt>
                <c:pt idx="12">
                  <c:v>51</c:v>
                </c:pt>
                <c:pt idx="13">
                  <c:v>51</c:v>
                </c:pt>
                <c:pt idx="14">
                  <c:v>54</c:v>
                </c:pt>
                <c:pt idx="15">
                  <c:v>50</c:v>
                </c:pt>
                <c:pt idx="16">
                  <c:v>60</c:v>
                </c:pt>
                <c:pt idx="17">
                  <c:v>75</c:v>
                </c:pt>
                <c:pt idx="18">
                  <c:v>76</c:v>
                </c:pt>
                <c:pt idx="19">
                  <c:v>78</c:v>
                </c:pt>
                <c:pt idx="20">
                  <c:v>88</c:v>
                </c:pt>
                <c:pt idx="21">
                  <c:v>93</c:v>
                </c:pt>
                <c:pt idx="22">
                  <c:v>96</c:v>
                </c:pt>
                <c:pt idx="23">
                  <c:v>92</c:v>
                </c:pt>
                <c:pt idx="24">
                  <c:v>94</c:v>
                </c:pt>
                <c:pt idx="25">
                  <c:v>99</c:v>
                </c:pt>
                <c:pt idx="26">
                  <c:v>105</c:v>
                </c:pt>
                <c:pt idx="27">
                  <c:v>102</c:v>
                </c:pt>
                <c:pt idx="28">
                  <c:v>102</c:v>
                </c:pt>
                <c:pt idx="29">
                  <c:v>102</c:v>
                </c:pt>
                <c:pt idx="30">
                  <c:v>108</c:v>
                </c:pt>
                <c:pt idx="31">
                  <c:v>117</c:v>
                </c:pt>
                <c:pt idx="32">
                  <c:v>107</c:v>
                </c:pt>
                <c:pt idx="33">
                  <c:v>111</c:v>
                </c:pt>
                <c:pt idx="34">
                  <c:v>96</c:v>
                </c:pt>
                <c:pt idx="35">
                  <c:v>98</c:v>
                </c:pt>
                <c:pt idx="36">
                  <c:v>99</c:v>
                </c:pt>
                <c:pt idx="37">
                  <c:v>90</c:v>
                </c:pt>
                <c:pt idx="38">
                  <c:v>94</c:v>
                </c:pt>
                <c:pt idx="39">
                  <c:v>101</c:v>
                </c:pt>
                <c:pt idx="40">
                  <c:v>92</c:v>
                </c:pt>
                <c:pt idx="41">
                  <c:v>88</c:v>
                </c:pt>
                <c:pt idx="42">
                  <c:v>82</c:v>
                </c:pt>
                <c:pt idx="43">
                  <c:v>67</c:v>
                </c:pt>
                <c:pt idx="44">
                  <c:v>66</c:v>
                </c:pt>
                <c:pt idx="45">
                  <c:v>64</c:v>
                </c:pt>
                <c:pt idx="46">
                  <c:v>54</c:v>
                </c:pt>
                <c:pt idx="47">
                  <c:v>52</c:v>
                </c:pt>
                <c:pt idx="48">
                  <c:v>52</c:v>
                </c:pt>
                <c:pt idx="49">
                  <c:v>45</c:v>
                </c:pt>
                <c:pt idx="50">
                  <c:v>45</c:v>
                </c:pt>
                <c:pt idx="51">
                  <c:v>54</c:v>
                </c:pt>
                <c:pt idx="52">
                  <c:v>50</c:v>
                </c:pt>
                <c:pt idx="53">
                  <c:v>48</c:v>
                </c:pt>
                <c:pt idx="54">
                  <c:v>45</c:v>
                </c:pt>
                <c:pt idx="55">
                  <c:v>46</c:v>
                </c:pt>
                <c:pt idx="56">
                  <c:v>44</c:v>
                </c:pt>
                <c:pt idx="57">
                  <c:v>44</c:v>
                </c:pt>
                <c:pt idx="58">
                  <c:v>41</c:v>
                </c:pt>
                <c:pt idx="59">
                  <c:v>41</c:v>
                </c:pt>
                <c:pt idx="60">
                  <c:v>37</c:v>
                </c:pt>
                <c:pt idx="61">
                  <c:v>41</c:v>
                </c:pt>
                <c:pt idx="62">
                  <c:v>37</c:v>
                </c:pt>
                <c:pt idx="63">
                  <c:v>35</c:v>
                </c:pt>
                <c:pt idx="64">
                  <c:v>31</c:v>
                </c:pt>
                <c:pt idx="65">
                  <c:v>32</c:v>
                </c:pt>
                <c:pt idx="66">
                  <c:v>25</c:v>
                </c:pt>
                <c:pt idx="67">
                  <c:v>25</c:v>
                </c:pt>
                <c:pt idx="68">
                  <c:v>27</c:v>
                </c:pt>
                <c:pt idx="69">
                  <c:v>23</c:v>
                </c:pt>
                <c:pt idx="70">
                  <c:v>23</c:v>
                </c:pt>
                <c:pt idx="71">
                  <c:v>22</c:v>
                </c:pt>
                <c:pt idx="72">
                  <c:v>26</c:v>
                </c:pt>
                <c:pt idx="73">
                  <c:v>22</c:v>
                </c:pt>
                <c:pt idx="74">
                  <c:v>21</c:v>
                </c:pt>
                <c:pt idx="75">
                  <c:v>20</c:v>
                </c:pt>
                <c:pt idx="76">
                  <c:v>42</c:v>
                </c:pt>
                <c:pt idx="77">
                  <c:v>495</c:v>
                </c:pt>
                <c:pt idx="78">
                  <c:v>65</c:v>
                </c:pt>
                <c:pt idx="79">
                  <c:v>34</c:v>
                </c:pt>
                <c:pt idx="80">
                  <c:v>26</c:v>
                </c:pt>
                <c:pt idx="81">
                  <c:v>25</c:v>
                </c:pt>
                <c:pt idx="82">
                  <c:v>21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20</c:v>
                </c:pt>
                <c:pt idx="87">
                  <c:v>38</c:v>
                </c:pt>
                <c:pt idx="88">
                  <c:v>705</c:v>
                </c:pt>
                <c:pt idx="89">
                  <c:v>1541</c:v>
                </c:pt>
                <c:pt idx="90">
                  <c:v>32</c:v>
                </c:pt>
                <c:pt idx="91">
                  <c:v>17</c:v>
                </c:pt>
                <c:pt idx="92">
                  <c:v>17</c:v>
                </c:pt>
                <c:pt idx="93">
                  <c:v>13</c:v>
                </c:pt>
                <c:pt idx="94">
                  <c:v>14</c:v>
                </c:pt>
                <c:pt idx="95">
                  <c:v>12</c:v>
                </c:pt>
                <c:pt idx="96">
                  <c:v>12</c:v>
                </c:pt>
                <c:pt idx="97">
                  <c:v>9</c:v>
                </c:pt>
                <c:pt idx="98">
                  <c:v>12</c:v>
                </c:pt>
                <c:pt idx="99">
                  <c:v>10</c:v>
                </c:pt>
                <c:pt idx="100">
                  <c:v>11</c:v>
                </c:pt>
                <c:pt idx="101">
                  <c:v>8</c:v>
                </c:pt>
                <c:pt idx="102">
                  <c:v>10</c:v>
                </c:pt>
                <c:pt idx="103">
                  <c:v>10</c:v>
                </c:pt>
                <c:pt idx="104">
                  <c:v>9</c:v>
                </c:pt>
                <c:pt idx="105">
                  <c:v>7</c:v>
                </c:pt>
                <c:pt idx="106">
                  <c:v>9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6</c:v>
                </c:pt>
                <c:pt idx="112">
                  <c:v>4</c:v>
                </c:pt>
                <c:pt idx="113">
                  <c:v>5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4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4</c:v>
                </c:pt>
                <c:pt idx="122">
                  <c:v>3</c:v>
                </c:pt>
                <c:pt idx="123">
                  <c:v>4</c:v>
                </c:pt>
                <c:pt idx="124">
                  <c:v>1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2</c:v>
                </c:pt>
                <c:pt idx="130">
                  <c:v>4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2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4</c:v>
                </c:pt>
                <c:pt idx="141">
                  <c:v>4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3</c:v>
                </c:pt>
                <c:pt idx="193">
                  <c:v>3</c:v>
                </c:pt>
                <c:pt idx="194">
                  <c:v>37</c:v>
                </c:pt>
                <c:pt idx="195">
                  <c:v>8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2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4</c:v>
                </c:pt>
                <c:pt idx="224">
                  <c:v>26</c:v>
                </c:pt>
                <c:pt idx="225">
                  <c:v>161</c:v>
                </c:pt>
                <c:pt idx="226">
                  <c:v>75</c:v>
                </c:pt>
                <c:pt idx="227">
                  <c:v>4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0-43FB-B82B-D552B567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754976"/>
        <c:axId val="1183771776"/>
      </c:scatterChart>
      <c:valAx>
        <c:axId val="11837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71776"/>
        <c:crosses val="autoZero"/>
        <c:crossBetween val="midCat"/>
      </c:valAx>
      <c:valAx>
        <c:axId val="11837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54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197643</xdr:colOff>
      <xdr:row>6</xdr:row>
      <xdr:rowOff>128587</xdr:rowOff>
    </xdr:from>
    <xdr:to>
      <xdr:col>11</xdr:col>
      <xdr:colOff>235743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"/>
  <sheetViews>
    <sheetView workbookViewId="0">
      <pane ySplit="2" topLeftCell="A3" activePane="bottomLeft" state="frozen"/>
      <selection pane="bottomLeft" activeCell="A4" sqref="A4:B254"/>
    </sheetView>
  </sheetViews>
  <sheetFormatPr defaultRowHeight="14.25" x14ac:dyDescent="0.45"/>
  <cols>
    <col min="1" max="1" width="18" customWidth="1"/>
    <col min="2" max="2" width="22" customWidth="1"/>
  </cols>
  <sheetData>
    <row r="1" spans="1:2" ht="30" customHeight="1" x14ac:dyDescent="0.45">
      <c r="A1" s="11" t="s">
        <v>17</v>
      </c>
      <c r="B1" s="10"/>
    </row>
    <row r="2" spans="1:2" x14ac:dyDescent="0.45">
      <c r="A2" s="1" t="s">
        <v>6</v>
      </c>
      <c r="B2" s="1" t="s">
        <v>7</v>
      </c>
    </row>
    <row r="3" spans="1:2" x14ac:dyDescent="0.45">
      <c r="A3" s="2" t="s">
        <v>9</v>
      </c>
      <c r="B3" s="2" t="s">
        <v>10</v>
      </c>
    </row>
    <row r="4" spans="1:2" x14ac:dyDescent="0.45">
      <c r="A4" s="2">
        <v>10</v>
      </c>
      <c r="B4" s="2">
        <v>5</v>
      </c>
    </row>
    <row r="5" spans="1:2" x14ac:dyDescent="0.45">
      <c r="A5" s="2">
        <v>10.3</v>
      </c>
      <c r="B5" s="2">
        <v>4</v>
      </c>
    </row>
    <row r="6" spans="1:2" x14ac:dyDescent="0.45">
      <c r="A6" s="2">
        <v>10.8</v>
      </c>
      <c r="B6" s="2">
        <v>7</v>
      </c>
    </row>
    <row r="7" spans="1:2" x14ac:dyDescent="0.45">
      <c r="A7" s="2">
        <v>11.2</v>
      </c>
      <c r="B7" s="2">
        <v>12</v>
      </c>
    </row>
    <row r="8" spans="1:2" x14ac:dyDescent="0.45">
      <c r="A8" s="2">
        <v>11.6</v>
      </c>
      <c r="B8" s="2">
        <v>12</v>
      </c>
    </row>
    <row r="9" spans="1:2" x14ac:dyDescent="0.45">
      <c r="A9" s="2">
        <v>12</v>
      </c>
      <c r="B9" s="2">
        <v>19</v>
      </c>
    </row>
    <row r="10" spans="1:2" x14ac:dyDescent="0.45">
      <c r="A10" s="2">
        <v>12.4</v>
      </c>
      <c r="B10" s="2">
        <v>24</v>
      </c>
    </row>
    <row r="11" spans="1:2" x14ac:dyDescent="0.45">
      <c r="A11" s="2">
        <v>12.8</v>
      </c>
      <c r="B11" s="2">
        <v>24</v>
      </c>
    </row>
    <row r="12" spans="1:2" x14ac:dyDescent="0.45">
      <c r="A12" s="2">
        <v>13.2</v>
      </c>
      <c r="B12" s="2">
        <v>32</v>
      </c>
    </row>
    <row r="13" spans="1:2" x14ac:dyDescent="0.45">
      <c r="A13" s="2">
        <v>13.6</v>
      </c>
      <c r="B13" s="2">
        <v>37</v>
      </c>
    </row>
    <row r="14" spans="1:2" x14ac:dyDescent="0.45">
      <c r="A14" s="2">
        <v>14</v>
      </c>
      <c r="B14" s="2">
        <v>44</v>
      </c>
    </row>
    <row r="15" spans="1:2" x14ac:dyDescent="0.45">
      <c r="A15" s="2">
        <v>14.4</v>
      </c>
      <c r="B15" s="2">
        <v>38</v>
      </c>
    </row>
    <row r="16" spans="1:2" x14ac:dyDescent="0.45">
      <c r="A16" s="2">
        <v>14.8</v>
      </c>
      <c r="B16" s="2">
        <v>51</v>
      </c>
    </row>
    <row r="17" spans="1:2" x14ac:dyDescent="0.45">
      <c r="A17" s="2">
        <v>15.2</v>
      </c>
      <c r="B17" s="2">
        <v>51</v>
      </c>
    </row>
    <row r="18" spans="1:2" x14ac:dyDescent="0.45">
      <c r="A18" s="2">
        <v>15.6</v>
      </c>
      <c r="B18" s="2">
        <v>54</v>
      </c>
    </row>
    <row r="19" spans="1:2" x14ac:dyDescent="0.45">
      <c r="A19" s="2">
        <v>16</v>
      </c>
      <c r="B19" s="2">
        <v>50</v>
      </c>
    </row>
    <row r="20" spans="1:2" x14ac:dyDescent="0.45">
      <c r="A20" s="2">
        <v>16.399999999999999</v>
      </c>
      <c r="B20" s="2">
        <v>60</v>
      </c>
    </row>
    <row r="21" spans="1:2" x14ac:dyDescent="0.45">
      <c r="A21" s="2">
        <v>16.7</v>
      </c>
      <c r="B21" s="2">
        <v>75</v>
      </c>
    </row>
    <row r="22" spans="1:2" x14ac:dyDescent="0.45">
      <c r="A22" s="2">
        <v>17.2</v>
      </c>
      <c r="B22" s="2">
        <v>76</v>
      </c>
    </row>
    <row r="23" spans="1:2" x14ac:dyDescent="0.45">
      <c r="A23" s="2">
        <v>17.600000000000001</v>
      </c>
      <c r="B23" s="2">
        <v>78</v>
      </c>
    </row>
    <row r="24" spans="1:2" x14ac:dyDescent="0.45">
      <c r="A24" s="2">
        <v>18</v>
      </c>
      <c r="B24" s="2">
        <v>88</v>
      </c>
    </row>
    <row r="25" spans="1:2" x14ac:dyDescent="0.45">
      <c r="A25" s="2">
        <v>18.399999999999999</v>
      </c>
      <c r="B25" s="2">
        <v>93</v>
      </c>
    </row>
    <row r="26" spans="1:2" x14ac:dyDescent="0.45">
      <c r="A26" s="2">
        <v>18.7</v>
      </c>
      <c r="B26" s="2">
        <v>96</v>
      </c>
    </row>
    <row r="27" spans="1:2" x14ac:dyDescent="0.45">
      <c r="A27" s="2">
        <v>19.2</v>
      </c>
      <c r="B27" s="2">
        <v>92</v>
      </c>
    </row>
    <row r="28" spans="1:2" x14ac:dyDescent="0.45">
      <c r="A28" s="2">
        <v>19.600000000000001</v>
      </c>
      <c r="B28" s="2">
        <v>94</v>
      </c>
    </row>
    <row r="29" spans="1:2" x14ac:dyDescent="0.45">
      <c r="A29" s="2">
        <v>20</v>
      </c>
      <c r="B29" s="2">
        <v>99</v>
      </c>
    </row>
    <row r="30" spans="1:2" x14ac:dyDescent="0.45">
      <c r="A30" s="2">
        <v>20.399999999999999</v>
      </c>
      <c r="B30" s="2">
        <v>105</v>
      </c>
    </row>
    <row r="31" spans="1:2" x14ac:dyDescent="0.45">
      <c r="A31" s="2">
        <v>20.7</v>
      </c>
      <c r="B31" s="2">
        <v>102</v>
      </c>
    </row>
    <row r="32" spans="1:2" x14ac:dyDescent="0.45">
      <c r="A32" s="2">
        <v>21.2</v>
      </c>
      <c r="B32" s="2">
        <v>102</v>
      </c>
    </row>
    <row r="33" spans="1:2" x14ac:dyDescent="0.45">
      <c r="A33" s="2">
        <v>21.6</v>
      </c>
      <c r="B33" s="2">
        <v>102</v>
      </c>
    </row>
    <row r="34" spans="1:2" x14ac:dyDescent="0.45">
      <c r="A34" s="2">
        <v>22</v>
      </c>
      <c r="B34" s="2">
        <v>108</v>
      </c>
    </row>
    <row r="35" spans="1:2" x14ac:dyDescent="0.45">
      <c r="A35" s="2">
        <v>22.4</v>
      </c>
      <c r="B35" s="2">
        <v>117</v>
      </c>
    </row>
    <row r="36" spans="1:2" x14ac:dyDescent="0.45">
      <c r="A36" s="2">
        <v>22.7</v>
      </c>
      <c r="B36" s="2">
        <v>107</v>
      </c>
    </row>
    <row r="37" spans="1:2" x14ac:dyDescent="0.45">
      <c r="A37" s="2">
        <v>23.2</v>
      </c>
      <c r="B37" s="2">
        <v>111</v>
      </c>
    </row>
    <row r="38" spans="1:2" x14ac:dyDescent="0.45">
      <c r="A38" s="2">
        <v>23.6</v>
      </c>
      <c r="B38" s="2">
        <v>96</v>
      </c>
    </row>
    <row r="39" spans="1:2" x14ac:dyDescent="0.45">
      <c r="A39" s="2">
        <v>24</v>
      </c>
      <c r="B39" s="2">
        <v>98</v>
      </c>
    </row>
    <row r="40" spans="1:2" x14ac:dyDescent="0.45">
      <c r="A40" s="2">
        <v>24.4</v>
      </c>
      <c r="B40" s="2">
        <v>99</v>
      </c>
    </row>
    <row r="41" spans="1:2" x14ac:dyDescent="0.45">
      <c r="A41" s="2">
        <v>24.8</v>
      </c>
      <c r="B41" s="2">
        <v>90</v>
      </c>
    </row>
    <row r="42" spans="1:2" x14ac:dyDescent="0.45">
      <c r="A42" s="2">
        <v>25.2</v>
      </c>
      <c r="B42" s="2">
        <v>94</v>
      </c>
    </row>
    <row r="43" spans="1:2" x14ac:dyDescent="0.45">
      <c r="A43" s="2">
        <v>25.6</v>
      </c>
      <c r="B43" s="2">
        <v>101</v>
      </c>
    </row>
    <row r="44" spans="1:2" x14ac:dyDescent="0.45">
      <c r="A44" s="2">
        <v>26</v>
      </c>
      <c r="B44" s="2">
        <v>92</v>
      </c>
    </row>
    <row r="45" spans="1:2" x14ac:dyDescent="0.45">
      <c r="A45" s="2">
        <v>26.4</v>
      </c>
      <c r="B45" s="2">
        <v>88</v>
      </c>
    </row>
    <row r="46" spans="1:2" x14ac:dyDescent="0.45">
      <c r="A46" s="2">
        <v>26.8</v>
      </c>
      <c r="B46" s="2">
        <v>82</v>
      </c>
    </row>
    <row r="47" spans="1:2" x14ac:dyDescent="0.45">
      <c r="A47" s="2">
        <v>27.2</v>
      </c>
      <c r="B47" s="2">
        <v>67</v>
      </c>
    </row>
    <row r="48" spans="1:2" x14ac:dyDescent="0.45">
      <c r="A48" s="2">
        <v>27.6</v>
      </c>
      <c r="B48" s="2">
        <v>66</v>
      </c>
    </row>
    <row r="49" spans="1:2" x14ac:dyDescent="0.45">
      <c r="A49" s="2">
        <v>28</v>
      </c>
      <c r="B49" s="2">
        <v>64</v>
      </c>
    </row>
    <row r="50" spans="1:2" x14ac:dyDescent="0.45">
      <c r="A50" s="2">
        <v>28.4</v>
      </c>
      <c r="B50" s="2">
        <v>54</v>
      </c>
    </row>
    <row r="51" spans="1:2" x14ac:dyDescent="0.45">
      <c r="A51" s="2">
        <v>28.8</v>
      </c>
      <c r="B51" s="2">
        <v>52</v>
      </c>
    </row>
    <row r="52" spans="1:2" x14ac:dyDescent="0.45">
      <c r="A52" s="2">
        <v>29.2</v>
      </c>
      <c r="B52" s="2">
        <v>52</v>
      </c>
    </row>
    <row r="53" spans="1:2" x14ac:dyDescent="0.45">
      <c r="A53" s="2">
        <v>29.6</v>
      </c>
      <c r="B53" s="2">
        <v>45</v>
      </c>
    </row>
    <row r="54" spans="1:2" x14ac:dyDescent="0.45">
      <c r="A54" s="2">
        <v>30</v>
      </c>
      <c r="B54" s="2">
        <v>45</v>
      </c>
    </row>
    <row r="55" spans="1:2" x14ac:dyDescent="0.45">
      <c r="A55" s="2">
        <v>30.4</v>
      </c>
      <c r="B55" s="2">
        <v>54</v>
      </c>
    </row>
    <row r="56" spans="1:2" x14ac:dyDescent="0.45">
      <c r="A56" s="2">
        <v>30.8</v>
      </c>
      <c r="B56" s="2">
        <v>50</v>
      </c>
    </row>
    <row r="57" spans="1:2" x14ac:dyDescent="0.45">
      <c r="A57" s="2">
        <v>31.2</v>
      </c>
      <c r="B57" s="2">
        <v>48</v>
      </c>
    </row>
    <row r="58" spans="1:2" x14ac:dyDescent="0.45">
      <c r="A58" s="2">
        <v>31.6</v>
      </c>
      <c r="B58" s="2">
        <v>45</v>
      </c>
    </row>
    <row r="59" spans="1:2" x14ac:dyDescent="0.45">
      <c r="A59" s="2">
        <v>32</v>
      </c>
      <c r="B59" s="2">
        <v>46</v>
      </c>
    </row>
    <row r="60" spans="1:2" x14ac:dyDescent="0.45">
      <c r="A60" s="2">
        <v>32.4</v>
      </c>
      <c r="B60" s="2">
        <v>44</v>
      </c>
    </row>
    <row r="61" spans="1:2" x14ac:dyDescent="0.45">
      <c r="A61" s="2">
        <v>32.799999999999997</v>
      </c>
      <c r="B61" s="2">
        <v>44</v>
      </c>
    </row>
    <row r="62" spans="1:2" x14ac:dyDescent="0.45">
      <c r="A62" s="2">
        <v>33.200000000000003</v>
      </c>
      <c r="B62" s="2">
        <v>41</v>
      </c>
    </row>
    <row r="63" spans="1:2" x14ac:dyDescent="0.45">
      <c r="A63" s="2">
        <v>33.5</v>
      </c>
      <c r="B63" s="2">
        <v>41</v>
      </c>
    </row>
    <row r="64" spans="1:2" x14ac:dyDescent="0.45">
      <c r="A64" s="2">
        <v>34</v>
      </c>
      <c r="B64" s="2">
        <v>37</v>
      </c>
    </row>
    <row r="65" spans="1:2" x14ac:dyDescent="0.45">
      <c r="A65" s="2">
        <v>34.4</v>
      </c>
      <c r="B65" s="2">
        <v>41</v>
      </c>
    </row>
    <row r="66" spans="1:2" x14ac:dyDescent="0.45">
      <c r="A66" s="2">
        <v>34.799999999999997</v>
      </c>
      <c r="B66" s="2">
        <v>37</v>
      </c>
    </row>
    <row r="67" spans="1:2" x14ac:dyDescent="0.45">
      <c r="A67" s="2">
        <v>35.200000000000003</v>
      </c>
      <c r="B67" s="2">
        <v>35</v>
      </c>
    </row>
    <row r="68" spans="1:2" x14ac:dyDescent="0.45">
      <c r="A68" s="2">
        <v>35.5</v>
      </c>
      <c r="B68" s="2">
        <v>31</v>
      </c>
    </row>
    <row r="69" spans="1:2" x14ac:dyDescent="0.45">
      <c r="A69" s="2">
        <v>36</v>
      </c>
      <c r="B69" s="2">
        <v>32</v>
      </c>
    </row>
    <row r="70" spans="1:2" x14ac:dyDescent="0.45">
      <c r="A70" s="2">
        <v>36.4</v>
      </c>
      <c r="B70" s="2">
        <v>25</v>
      </c>
    </row>
    <row r="71" spans="1:2" x14ac:dyDescent="0.45">
      <c r="A71" s="2">
        <v>36.799999999999997</v>
      </c>
      <c r="B71" s="2">
        <v>25</v>
      </c>
    </row>
    <row r="72" spans="1:2" x14ac:dyDescent="0.45">
      <c r="A72" s="2">
        <v>37.200000000000003</v>
      </c>
      <c r="B72" s="2">
        <v>27</v>
      </c>
    </row>
    <row r="73" spans="1:2" x14ac:dyDescent="0.45">
      <c r="A73" s="2">
        <v>37.5</v>
      </c>
      <c r="B73" s="2">
        <v>23</v>
      </c>
    </row>
    <row r="74" spans="1:2" x14ac:dyDescent="0.45">
      <c r="A74" s="2">
        <v>38</v>
      </c>
      <c r="B74" s="2">
        <v>23</v>
      </c>
    </row>
    <row r="75" spans="1:2" x14ac:dyDescent="0.45">
      <c r="A75" s="2">
        <v>38.4</v>
      </c>
      <c r="B75" s="2">
        <v>22</v>
      </c>
    </row>
    <row r="76" spans="1:2" x14ac:dyDescent="0.45">
      <c r="A76" s="2">
        <v>38.799999999999997</v>
      </c>
      <c r="B76" s="2">
        <v>26</v>
      </c>
    </row>
    <row r="77" spans="1:2" x14ac:dyDescent="0.45">
      <c r="A77" s="2">
        <v>39.200000000000003</v>
      </c>
      <c r="B77" s="2">
        <v>22</v>
      </c>
    </row>
    <row r="78" spans="1:2" x14ac:dyDescent="0.45">
      <c r="A78" s="2">
        <v>39.5</v>
      </c>
      <c r="B78" s="2">
        <v>21</v>
      </c>
    </row>
    <row r="79" spans="1:2" x14ac:dyDescent="0.45">
      <c r="A79" s="2">
        <v>40</v>
      </c>
      <c r="B79" s="2">
        <v>20</v>
      </c>
    </row>
    <row r="80" spans="1:2" x14ac:dyDescent="0.45">
      <c r="A80" s="2">
        <v>40.4</v>
      </c>
      <c r="B80" s="2">
        <v>42</v>
      </c>
    </row>
    <row r="81" spans="1:2" x14ac:dyDescent="0.45">
      <c r="A81" s="2">
        <v>40.799999999999997</v>
      </c>
      <c r="B81" s="2">
        <v>495</v>
      </c>
    </row>
    <row r="82" spans="1:2" x14ac:dyDescent="0.45">
      <c r="A82" s="2">
        <v>41.2</v>
      </c>
      <c r="B82" s="2">
        <v>65</v>
      </c>
    </row>
    <row r="83" spans="1:2" x14ac:dyDescent="0.45">
      <c r="A83" s="2">
        <v>41.5</v>
      </c>
      <c r="B83" s="2">
        <v>34</v>
      </c>
    </row>
    <row r="84" spans="1:2" x14ac:dyDescent="0.45">
      <c r="A84" s="2">
        <v>42</v>
      </c>
      <c r="B84" s="2">
        <v>26</v>
      </c>
    </row>
    <row r="85" spans="1:2" x14ac:dyDescent="0.45">
      <c r="A85" s="2">
        <v>42.4</v>
      </c>
      <c r="B85" s="2">
        <v>25</v>
      </c>
    </row>
    <row r="86" spans="1:2" x14ac:dyDescent="0.45">
      <c r="A86" s="2">
        <v>42.8</v>
      </c>
      <c r="B86" s="2">
        <v>21</v>
      </c>
    </row>
    <row r="87" spans="1:2" x14ac:dyDescent="0.45">
      <c r="A87" s="2">
        <v>43.2</v>
      </c>
      <c r="B87" s="2">
        <v>22</v>
      </c>
    </row>
    <row r="88" spans="1:2" x14ac:dyDescent="0.45">
      <c r="A88" s="2">
        <v>43.5</v>
      </c>
      <c r="B88" s="2">
        <v>22</v>
      </c>
    </row>
    <row r="89" spans="1:2" x14ac:dyDescent="0.45">
      <c r="A89" s="2">
        <v>44</v>
      </c>
      <c r="B89" s="2">
        <v>23</v>
      </c>
    </row>
    <row r="90" spans="1:2" x14ac:dyDescent="0.45">
      <c r="A90" s="2">
        <v>44.4</v>
      </c>
      <c r="B90" s="2">
        <v>20</v>
      </c>
    </row>
    <row r="91" spans="1:2" x14ac:dyDescent="0.45">
      <c r="A91" s="2">
        <v>44.8</v>
      </c>
      <c r="B91" s="2">
        <v>38</v>
      </c>
    </row>
    <row r="92" spans="1:2" x14ac:dyDescent="0.45">
      <c r="A92" s="2">
        <v>45.2</v>
      </c>
      <c r="B92" s="2">
        <v>705</v>
      </c>
    </row>
    <row r="93" spans="1:2" x14ac:dyDescent="0.45">
      <c r="A93" s="2">
        <v>45.5</v>
      </c>
      <c r="B93" s="2">
        <v>1541</v>
      </c>
    </row>
    <row r="94" spans="1:2" x14ac:dyDescent="0.45">
      <c r="A94" s="2">
        <v>46</v>
      </c>
      <c r="B94" s="2">
        <v>32</v>
      </c>
    </row>
    <row r="95" spans="1:2" x14ac:dyDescent="0.45">
      <c r="A95" s="2">
        <v>46.4</v>
      </c>
      <c r="B95" s="2">
        <v>17</v>
      </c>
    </row>
    <row r="96" spans="1:2" x14ac:dyDescent="0.45">
      <c r="A96" s="2">
        <v>46.8</v>
      </c>
      <c r="B96" s="2">
        <v>17</v>
      </c>
    </row>
    <row r="97" spans="1:2" x14ac:dyDescent="0.45">
      <c r="A97" s="2">
        <v>47.2</v>
      </c>
      <c r="B97" s="2">
        <v>13</v>
      </c>
    </row>
    <row r="98" spans="1:2" x14ac:dyDescent="0.45">
      <c r="A98" s="2">
        <v>47.5</v>
      </c>
      <c r="B98" s="2">
        <v>14</v>
      </c>
    </row>
    <row r="99" spans="1:2" x14ac:dyDescent="0.45">
      <c r="A99" s="2">
        <v>48</v>
      </c>
      <c r="B99" s="2">
        <v>12</v>
      </c>
    </row>
    <row r="100" spans="1:2" x14ac:dyDescent="0.45">
      <c r="A100" s="2">
        <v>48.4</v>
      </c>
      <c r="B100" s="2">
        <v>12</v>
      </c>
    </row>
    <row r="101" spans="1:2" x14ac:dyDescent="0.45">
      <c r="A101" s="2">
        <v>48.8</v>
      </c>
      <c r="B101" s="2">
        <v>9</v>
      </c>
    </row>
    <row r="102" spans="1:2" x14ac:dyDescent="0.45">
      <c r="A102" s="2">
        <v>49.2</v>
      </c>
      <c r="B102" s="2">
        <v>12</v>
      </c>
    </row>
    <row r="103" spans="1:2" x14ac:dyDescent="0.45">
      <c r="A103" s="2">
        <v>49.6</v>
      </c>
      <c r="B103" s="2">
        <v>10</v>
      </c>
    </row>
    <row r="104" spans="1:2" x14ac:dyDescent="0.45">
      <c r="A104" s="2">
        <v>50</v>
      </c>
      <c r="B104" s="2">
        <v>11</v>
      </c>
    </row>
    <row r="105" spans="1:2" x14ac:dyDescent="0.45">
      <c r="A105" s="2">
        <v>50.4</v>
      </c>
      <c r="B105" s="2">
        <v>8</v>
      </c>
    </row>
    <row r="106" spans="1:2" x14ac:dyDescent="0.45">
      <c r="A106" s="2">
        <v>50.8</v>
      </c>
      <c r="B106" s="2">
        <v>10</v>
      </c>
    </row>
    <row r="107" spans="1:2" x14ac:dyDescent="0.45">
      <c r="A107" s="2">
        <v>51.2</v>
      </c>
      <c r="B107" s="2">
        <v>10</v>
      </c>
    </row>
    <row r="108" spans="1:2" x14ac:dyDescent="0.45">
      <c r="A108" s="2">
        <v>51.6</v>
      </c>
      <c r="B108" s="2">
        <v>9</v>
      </c>
    </row>
    <row r="109" spans="1:2" x14ac:dyDescent="0.45">
      <c r="A109" s="2">
        <v>52</v>
      </c>
      <c r="B109" s="2">
        <v>7</v>
      </c>
    </row>
    <row r="110" spans="1:2" x14ac:dyDescent="0.45">
      <c r="A110" s="2">
        <v>52.4</v>
      </c>
      <c r="B110" s="2">
        <v>9</v>
      </c>
    </row>
    <row r="111" spans="1:2" x14ac:dyDescent="0.45">
      <c r="A111" s="2">
        <v>52.8</v>
      </c>
      <c r="B111" s="2">
        <v>8</v>
      </c>
    </row>
    <row r="112" spans="1:2" x14ac:dyDescent="0.45">
      <c r="A112" s="2">
        <v>53.2</v>
      </c>
      <c r="B112" s="2">
        <v>8</v>
      </c>
    </row>
    <row r="113" spans="1:2" x14ac:dyDescent="0.45">
      <c r="A113" s="2">
        <v>53.6</v>
      </c>
      <c r="B113" s="2">
        <v>8</v>
      </c>
    </row>
    <row r="114" spans="1:2" x14ac:dyDescent="0.45">
      <c r="A114" s="2">
        <v>54</v>
      </c>
      <c r="B114" s="2">
        <v>8</v>
      </c>
    </row>
    <row r="115" spans="1:2" x14ac:dyDescent="0.45">
      <c r="A115" s="2">
        <v>54.4</v>
      </c>
      <c r="B115" s="2">
        <v>6</v>
      </c>
    </row>
    <row r="116" spans="1:2" x14ac:dyDescent="0.45">
      <c r="A116" s="2">
        <v>54.8</v>
      </c>
      <c r="B116" s="2">
        <v>4</v>
      </c>
    </row>
    <row r="117" spans="1:2" x14ac:dyDescent="0.45">
      <c r="A117" s="2">
        <v>55.2</v>
      </c>
      <c r="B117" s="2">
        <v>5</v>
      </c>
    </row>
    <row r="118" spans="1:2" x14ac:dyDescent="0.45">
      <c r="A118" s="2">
        <v>55.6</v>
      </c>
      <c r="B118" s="2">
        <v>5</v>
      </c>
    </row>
    <row r="119" spans="1:2" x14ac:dyDescent="0.45">
      <c r="A119" s="2">
        <v>56</v>
      </c>
      <c r="B119" s="2">
        <v>6</v>
      </c>
    </row>
    <row r="120" spans="1:2" x14ac:dyDescent="0.45">
      <c r="A120" s="2">
        <v>56.4</v>
      </c>
      <c r="B120" s="2">
        <v>6</v>
      </c>
    </row>
    <row r="121" spans="1:2" x14ac:dyDescent="0.45">
      <c r="A121" s="2">
        <v>56.8</v>
      </c>
      <c r="B121" s="2">
        <v>4</v>
      </c>
    </row>
    <row r="122" spans="1:2" x14ac:dyDescent="0.45">
      <c r="A122" s="2">
        <v>57.2</v>
      </c>
      <c r="B122" s="2">
        <v>5</v>
      </c>
    </row>
    <row r="123" spans="1:2" x14ac:dyDescent="0.45">
      <c r="A123" s="2">
        <v>57.6</v>
      </c>
      <c r="B123" s="2">
        <v>5</v>
      </c>
    </row>
    <row r="124" spans="1:2" x14ac:dyDescent="0.45">
      <c r="A124" s="2">
        <v>58</v>
      </c>
      <c r="B124" s="2">
        <v>6</v>
      </c>
    </row>
    <row r="125" spans="1:2" x14ac:dyDescent="0.45">
      <c r="A125" s="2">
        <v>58.4</v>
      </c>
      <c r="B125" s="2">
        <v>4</v>
      </c>
    </row>
    <row r="126" spans="1:2" x14ac:dyDescent="0.45">
      <c r="A126" s="2">
        <v>58.8</v>
      </c>
      <c r="B126" s="2">
        <v>3</v>
      </c>
    </row>
    <row r="127" spans="1:2" x14ac:dyDescent="0.45">
      <c r="A127" s="2">
        <v>59.2</v>
      </c>
      <c r="B127" s="2">
        <v>4</v>
      </c>
    </row>
    <row r="128" spans="1:2" x14ac:dyDescent="0.45">
      <c r="A128" s="2">
        <v>59.6</v>
      </c>
      <c r="B128" s="2">
        <v>1</v>
      </c>
    </row>
    <row r="129" spans="1:2" x14ac:dyDescent="0.45">
      <c r="A129" s="2">
        <v>60</v>
      </c>
      <c r="B129" s="2">
        <v>3</v>
      </c>
    </row>
    <row r="130" spans="1:2" x14ac:dyDescent="0.45">
      <c r="A130" s="2">
        <v>60.4</v>
      </c>
      <c r="B130" s="2">
        <v>3</v>
      </c>
    </row>
    <row r="131" spans="1:2" x14ac:dyDescent="0.45">
      <c r="A131" s="2">
        <v>60.8</v>
      </c>
      <c r="B131" s="2">
        <v>3</v>
      </c>
    </row>
    <row r="132" spans="1:2" x14ac:dyDescent="0.45">
      <c r="A132" s="2">
        <v>61.2</v>
      </c>
      <c r="B132" s="2">
        <v>4</v>
      </c>
    </row>
    <row r="133" spans="1:2" x14ac:dyDescent="0.45">
      <c r="A133" s="2">
        <v>61.6</v>
      </c>
      <c r="B133" s="2">
        <v>2</v>
      </c>
    </row>
    <row r="134" spans="1:2" x14ac:dyDescent="0.45">
      <c r="A134" s="2">
        <v>62</v>
      </c>
      <c r="B134" s="2">
        <v>4</v>
      </c>
    </row>
    <row r="135" spans="1:2" x14ac:dyDescent="0.45">
      <c r="A135" s="2">
        <v>62.4</v>
      </c>
      <c r="B135" s="2">
        <v>1</v>
      </c>
    </row>
    <row r="136" spans="1:2" x14ac:dyDescent="0.45">
      <c r="A136" s="2">
        <v>62.8</v>
      </c>
      <c r="B136" s="2">
        <v>3</v>
      </c>
    </row>
    <row r="137" spans="1:2" x14ac:dyDescent="0.45">
      <c r="A137" s="2">
        <v>63.2</v>
      </c>
      <c r="B137" s="2">
        <v>2</v>
      </c>
    </row>
    <row r="138" spans="1:2" x14ac:dyDescent="0.45">
      <c r="A138" s="2">
        <v>63.6</v>
      </c>
      <c r="B138" s="2">
        <v>2</v>
      </c>
    </row>
    <row r="139" spans="1:2" x14ac:dyDescent="0.45">
      <c r="A139" s="2">
        <v>64</v>
      </c>
      <c r="B139" s="2">
        <v>3</v>
      </c>
    </row>
    <row r="140" spans="1:2" x14ac:dyDescent="0.45">
      <c r="A140" s="2">
        <v>64.400000000000006</v>
      </c>
      <c r="B140" s="2">
        <v>2</v>
      </c>
    </row>
    <row r="141" spans="1:2" x14ac:dyDescent="0.45">
      <c r="A141" s="2">
        <v>64.8</v>
      </c>
      <c r="B141" s="2">
        <v>3</v>
      </c>
    </row>
    <row r="142" spans="1:2" x14ac:dyDescent="0.45">
      <c r="A142" s="2">
        <v>65.099999999999994</v>
      </c>
      <c r="B142" s="2">
        <v>3</v>
      </c>
    </row>
    <row r="143" spans="1:2" x14ac:dyDescent="0.45">
      <c r="A143" s="2">
        <v>65.599999999999994</v>
      </c>
      <c r="B143" s="2">
        <v>2</v>
      </c>
    </row>
    <row r="144" spans="1:2" x14ac:dyDescent="0.45">
      <c r="A144" s="2">
        <v>66</v>
      </c>
      <c r="B144" s="2">
        <v>4</v>
      </c>
    </row>
    <row r="145" spans="1:2" x14ac:dyDescent="0.45">
      <c r="A145" s="2">
        <v>66.400000000000006</v>
      </c>
      <c r="B145" s="2">
        <v>4</v>
      </c>
    </row>
    <row r="146" spans="1:2" x14ac:dyDescent="0.45">
      <c r="A146" s="2">
        <v>66.8</v>
      </c>
      <c r="B146" s="2">
        <v>2</v>
      </c>
    </row>
    <row r="147" spans="1:2" x14ac:dyDescent="0.45">
      <c r="A147" s="2">
        <v>67.099999999999994</v>
      </c>
      <c r="B147" s="2">
        <v>2</v>
      </c>
    </row>
    <row r="148" spans="1:2" x14ac:dyDescent="0.45">
      <c r="A148" s="2">
        <v>67.599999999999994</v>
      </c>
      <c r="B148" s="2">
        <v>1</v>
      </c>
    </row>
    <row r="149" spans="1:2" x14ac:dyDescent="0.45">
      <c r="A149" s="2">
        <v>68</v>
      </c>
      <c r="B149" s="2">
        <v>2</v>
      </c>
    </row>
    <row r="150" spans="1:2" x14ac:dyDescent="0.45">
      <c r="A150" s="2">
        <v>68.400000000000006</v>
      </c>
      <c r="B150" s="2">
        <v>2</v>
      </c>
    </row>
    <row r="151" spans="1:2" x14ac:dyDescent="0.45">
      <c r="A151" s="2">
        <v>68.8</v>
      </c>
      <c r="B151" s="2">
        <v>2</v>
      </c>
    </row>
    <row r="152" spans="1:2" x14ac:dyDescent="0.45">
      <c r="A152" s="2">
        <v>69.099999999999994</v>
      </c>
      <c r="B152" s="2">
        <v>3</v>
      </c>
    </row>
    <row r="153" spans="1:2" x14ac:dyDescent="0.45">
      <c r="A153" s="2">
        <v>69.599999999999994</v>
      </c>
      <c r="B153" s="2">
        <v>2</v>
      </c>
    </row>
    <row r="154" spans="1:2" x14ac:dyDescent="0.45">
      <c r="A154" s="2">
        <v>70</v>
      </c>
      <c r="B154" s="2">
        <v>1</v>
      </c>
    </row>
    <row r="155" spans="1:2" x14ac:dyDescent="0.45">
      <c r="A155" s="2">
        <v>70.400000000000006</v>
      </c>
      <c r="B155" s="2">
        <v>2</v>
      </c>
    </row>
    <row r="156" spans="1:2" x14ac:dyDescent="0.45">
      <c r="A156" s="2">
        <v>70.8</v>
      </c>
      <c r="B156" s="2">
        <v>2</v>
      </c>
    </row>
    <row r="157" spans="1:2" x14ac:dyDescent="0.45">
      <c r="A157" s="2">
        <v>71.099999999999994</v>
      </c>
      <c r="B157" s="2">
        <v>1</v>
      </c>
    </row>
    <row r="158" spans="1:2" x14ac:dyDescent="0.45">
      <c r="A158" s="2">
        <v>71.599999999999994</v>
      </c>
      <c r="B158" s="2">
        <v>1</v>
      </c>
    </row>
    <row r="159" spans="1:2" x14ac:dyDescent="0.45">
      <c r="A159" s="2">
        <v>72</v>
      </c>
      <c r="B159" s="2">
        <v>2</v>
      </c>
    </row>
    <row r="160" spans="1:2" x14ac:dyDescent="0.45">
      <c r="A160" s="2">
        <v>72.400000000000006</v>
      </c>
      <c r="B160" s="2">
        <v>1</v>
      </c>
    </row>
    <row r="161" spans="1:2" x14ac:dyDescent="0.45">
      <c r="A161" s="2">
        <v>72.8</v>
      </c>
      <c r="B161" s="2">
        <v>1</v>
      </c>
    </row>
    <row r="162" spans="1:2" x14ac:dyDescent="0.45">
      <c r="A162" s="2">
        <v>73.099999999999994</v>
      </c>
      <c r="B162" s="2">
        <v>1</v>
      </c>
    </row>
    <row r="163" spans="1:2" x14ac:dyDescent="0.45">
      <c r="A163" s="2">
        <v>73.599999999999994</v>
      </c>
      <c r="B163" s="2">
        <v>1</v>
      </c>
    </row>
    <row r="164" spans="1:2" x14ac:dyDescent="0.45">
      <c r="A164" s="2">
        <v>74</v>
      </c>
      <c r="B164" s="2">
        <v>2</v>
      </c>
    </row>
    <row r="165" spans="1:2" x14ac:dyDescent="0.45">
      <c r="A165" s="2">
        <v>74.400000000000006</v>
      </c>
      <c r="B165" s="2">
        <v>1</v>
      </c>
    </row>
    <row r="166" spans="1:2" x14ac:dyDescent="0.45">
      <c r="A166" s="2">
        <v>74.8</v>
      </c>
      <c r="B166" s="2">
        <v>1</v>
      </c>
    </row>
    <row r="167" spans="1:2" x14ac:dyDescent="0.45">
      <c r="A167" s="2">
        <v>75.099999999999994</v>
      </c>
      <c r="B167" s="2">
        <v>2</v>
      </c>
    </row>
    <row r="168" spans="1:2" x14ac:dyDescent="0.45">
      <c r="A168" s="2">
        <v>75.599999999999994</v>
      </c>
      <c r="B168" s="2">
        <v>1</v>
      </c>
    </row>
    <row r="169" spans="1:2" x14ac:dyDescent="0.45">
      <c r="A169" s="2">
        <v>76</v>
      </c>
      <c r="B169" s="2">
        <v>1</v>
      </c>
    </row>
    <row r="170" spans="1:2" x14ac:dyDescent="0.45">
      <c r="A170" s="2">
        <v>76.400000000000006</v>
      </c>
      <c r="B170" s="2">
        <v>2</v>
      </c>
    </row>
    <row r="171" spans="1:2" x14ac:dyDescent="0.45">
      <c r="A171" s="2">
        <v>76.8</v>
      </c>
      <c r="B171" s="2">
        <v>1</v>
      </c>
    </row>
    <row r="172" spans="1:2" x14ac:dyDescent="0.45">
      <c r="A172" s="2">
        <v>77.099999999999994</v>
      </c>
      <c r="B172" s="2">
        <v>0</v>
      </c>
    </row>
    <row r="173" spans="1:2" x14ac:dyDescent="0.45">
      <c r="A173" s="2">
        <v>77.599999999999994</v>
      </c>
      <c r="B173" s="2">
        <v>2</v>
      </c>
    </row>
    <row r="174" spans="1:2" x14ac:dyDescent="0.45">
      <c r="A174" s="2">
        <v>78</v>
      </c>
      <c r="B174" s="2">
        <v>1</v>
      </c>
    </row>
    <row r="175" spans="1:2" x14ac:dyDescent="0.45">
      <c r="A175" s="2">
        <v>78.400000000000006</v>
      </c>
      <c r="B175" s="2">
        <v>1</v>
      </c>
    </row>
    <row r="176" spans="1:2" x14ac:dyDescent="0.45">
      <c r="A176" s="2">
        <v>78.8</v>
      </c>
      <c r="B176" s="2">
        <v>1</v>
      </c>
    </row>
    <row r="177" spans="1:2" x14ac:dyDescent="0.45">
      <c r="A177" s="2">
        <v>79.099999999999994</v>
      </c>
      <c r="B177" s="2">
        <v>0</v>
      </c>
    </row>
    <row r="178" spans="1:2" x14ac:dyDescent="0.45">
      <c r="A178" s="2">
        <v>79.599999999999994</v>
      </c>
      <c r="B178" s="2">
        <v>0</v>
      </c>
    </row>
    <row r="179" spans="1:2" x14ac:dyDescent="0.45">
      <c r="A179" s="2">
        <v>80</v>
      </c>
      <c r="B179" s="2">
        <v>0</v>
      </c>
    </row>
    <row r="180" spans="1:2" x14ac:dyDescent="0.45">
      <c r="A180" s="2">
        <v>80.400000000000006</v>
      </c>
      <c r="B180" s="2">
        <v>1</v>
      </c>
    </row>
    <row r="181" spans="1:2" x14ac:dyDescent="0.45">
      <c r="A181" s="2">
        <v>80.8</v>
      </c>
      <c r="B181" s="2">
        <v>2</v>
      </c>
    </row>
    <row r="182" spans="1:2" x14ac:dyDescent="0.45">
      <c r="A182" s="2">
        <v>81.099999999999994</v>
      </c>
      <c r="B182" s="2">
        <v>1</v>
      </c>
    </row>
    <row r="183" spans="1:2" x14ac:dyDescent="0.45">
      <c r="A183" s="2">
        <v>81.599999999999994</v>
      </c>
      <c r="B183" s="2">
        <v>1</v>
      </c>
    </row>
    <row r="184" spans="1:2" x14ac:dyDescent="0.45">
      <c r="A184" s="2">
        <v>82</v>
      </c>
      <c r="B184" s="2">
        <v>0</v>
      </c>
    </row>
    <row r="185" spans="1:2" x14ac:dyDescent="0.45">
      <c r="A185" s="2">
        <v>82.4</v>
      </c>
      <c r="B185" s="2">
        <v>1</v>
      </c>
    </row>
    <row r="186" spans="1:2" x14ac:dyDescent="0.45">
      <c r="A186" s="2">
        <v>82.8</v>
      </c>
      <c r="B186" s="2">
        <v>0</v>
      </c>
    </row>
    <row r="187" spans="1:2" x14ac:dyDescent="0.45">
      <c r="A187" s="2">
        <v>83.1</v>
      </c>
      <c r="B187" s="2">
        <v>1</v>
      </c>
    </row>
    <row r="188" spans="1:2" x14ac:dyDescent="0.45">
      <c r="A188" s="2">
        <v>83.6</v>
      </c>
      <c r="B188" s="2">
        <v>0</v>
      </c>
    </row>
    <row r="189" spans="1:2" x14ac:dyDescent="0.45">
      <c r="A189" s="2">
        <v>84</v>
      </c>
      <c r="B189" s="2">
        <v>0</v>
      </c>
    </row>
    <row r="190" spans="1:2" x14ac:dyDescent="0.45">
      <c r="A190" s="2">
        <v>84.4</v>
      </c>
      <c r="B190" s="2">
        <v>1</v>
      </c>
    </row>
    <row r="191" spans="1:2" x14ac:dyDescent="0.45">
      <c r="A191" s="2">
        <v>84.8</v>
      </c>
      <c r="B191" s="2">
        <v>1</v>
      </c>
    </row>
    <row r="192" spans="1:2" x14ac:dyDescent="0.45">
      <c r="A192" s="2">
        <v>85.1</v>
      </c>
      <c r="B192" s="2">
        <v>1</v>
      </c>
    </row>
    <row r="193" spans="1:2" x14ac:dyDescent="0.45">
      <c r="A193" s="2">
        <v>85.6</v>
      </c>
      <c r="B193" s="2">
        <v>0</v>
      </c>
    </row>
    <row r="194" spans="1:2" x14ac:dyDescent="0.45">
      <c r="A194" s="2">
        <v>86</v>
      </c>
      <c r="B194" s="2">
        <v>1</v>
      </c>
    </row>
    <row r="195" spans="1:2" x14ac:dyDescent="0.45">
      <c r="A195" s="2">
        <v>86.4</v>
      </c>
      <c r="B195" s="2">
        <v>0</v>
      </c>
    </row>
    <row r="196" spans="1:2" x14ac:dyDescent="0.45">
      <c r="A196" s="2">
        <v>86.8</v>
      </c>
      <c r="B196" s="2">
        <v>3</v>
      </c>
    </row>
    <row r="197" spans="1:2" x14ac:dyDescent="0.45">
      <c r="A197" s="2">
        <v>87.1</v>
      </c>
      <c r="B197" s="2">
        <v>3</v>
      </c>
    </row>
    <row r="198" spans="1:2" x14ac:dyDescent="0.45">
      <c r="A198" s="2">
        <v>87.6</v>
      </c>
      <c r="B198" s="2">
        <v>37</v>
      </c>
    </row>
    <row r="199" spans="1:2" x14ac:dyDescent="0.45">
      <c r="A199" s="2">
        <v>88</v>
      </c>
      <c r="B199" s="2">
        <v>8</v>
      </c>
    </row>
    <row r="200" spans="1:2" x14ac:dyDescent="0.45">
      <c r="A200" s="2">
        <v>88.4</v>
      </c>
      <c r="B200" s="2">
        <v>1</v>
      </c>
    </row>
    <row r="201" spans="1:2" x14ac:dyDescent="0.45">
      <c r="A201" s="2">
        <v>88.8</v>
      </c>
      <c r="B201" s="2">
        <v>2</v>
      </c>
    </row>
    <row r="202" spans="1:2" x14ac:dyDescent="0.45">
      <c r="A202" s="2">
        <v>89.1</v>
      </c>
      <c r="B202" s="2">
        <v>1</v>
      </c>
    </row>
    <row r="203" spans="1:2" x14ac:dyDescent="0.45">
      <c r="A203" s="2">
        <v>89.6</v>
      </c>
      <c r="B203" s="2">
        <v>1</v>
      </c>
    </row>
    <row r="204" spans="1:2" x14ac:dyDescent="0.45">
      <c r="A204" s="2">
        <v>90</v>
      </c>
      <c r="B204" s="2">
        <v>1</v>
      </c>
    </row>
    <row r="205" spans="1:2" x14ac:dyDescent="0.45">
      <c r="A205" s="2">
        <v>90.4</v>
      </c>
      <c r="B205" s="2">
        <v>1</v>
      </c>
    </row>
    <row r="206" spans="1:2" x14ac:dyDescent="0.45">
      <c r="A206" s="2">
        <v>90.8</v>
      </c>
      <c r="B206" s="2">
        <v>1</v>
      </c>
    </row>
    <row r="207" spans="1:2" x14ac:dyDescent="0.45">
      <c r="A207" s="2">
        <v>91.1</v>
      </c>
      <c r="B207" s="2">
        <v>1</v>
      </c>
    </row>
    <row r="208" spans="1:2" x14ac:dyDescent="0.45">
      <c r="A208" s="2">
        <v>91.6</v>
      </c>
      <c r="B208" s="2">
        <v>0</v>
      </c>
    </row>
    <row r="209" spans="1:2" x14ac:dyDescent="0.45">
      <c r="A209" s="2">
        <v>92</v>
      </c>
      <c r="B209" s="2">
        <v>1</v>
      </c>
    </row>
    <row r="210" spans="1:2" x14ac:dyDescent="0.45">
      <c r="A210" s="2">
        <v>92.4</v>
      </c>
      <c r="B210" s="2">
        <v>1</v>
      </c>
    </row>
    <row r="211" spans="1:2" x14ac:dyDescent="0.45">
      <c r="A211" s="2">
        <v>92.8</v>
      </c>
      <c r="B211" s="2">
        <v>1</v>
      </c>
    </row>
    <row r="212" spans="1:2" x14ac:dyDescent="0.45">
      <c r="A212" s="2">
        <v>93.1</v>
      </c>
      <c r="B212" s="2">
        <v>1</v>
      </c>
    </row>
    <row r="213" spans="1:2" x14ac:dyDescent="0.45">
      <c r="A213" s="2">
        <v>93.6</v>
      </c>
      <c r="B213" s="2">
        <v>2</v>
      </c>
    </row>
    <row r="214" spans="1:2" x14ac:dyDescent="0.45">
      <c r="A214" s="2">
        <v>94</v>
      </c>
      <c r="B214" s="2">
        <v>0</v>
      </c>
    </row>
    <row r="215" spans="1:2" x14ac:dyDescent="0.45">
      <c r="A215" s="2">
        <v>94.4</v>
      </c>
      <c r="B215" s="2">
        <v>1</v>
      </c>
    </row>
    <row r="216" spans="1:2" x14ac:dyDescent="0.45">
      <c r="A216" s="2">
        <v>94.8</v>
      </c>
      <c r="B216" s="2">
        <v>1</v>
      </c>
    </row>
    <row r="217" spans="1:2" x14ac:dyDescent="0.45">
      <c r="A217" s="2">
        <v>95.1</v>
      </c>
      <c r="B217" s="2">
        <v>1</v>
      </c>
    </row>
    <row r="218" spans="1:2" x14ac:dyDescent="0.45">
      <c r="A218" s="2">
        <v>95.6</v>
      </c>
      <c r="B218" s="2">
        <v>1</v>
      </c>
    </row>
    <row r="219" spans="1:2" x14ac:dyDescent="0.45">
      <c r="A219" s="2">
        <v>96</v>
      </c>
      <c r="B219" s="2">
        <v>0</v>
      </c>
    </row>
    <row r="220" spans="1:2" x14ac:dyDescent="0.45">
      <c r="A220" s="2">
        <v>96.4</v>
      </c>
      <c r="B220" s="2">
        <v>1</v>
      </c>
    </row>
    <row r="221" spans="1:2" x14ac:dyDescent="0.45">
      <c r="A221" s="2">
        <v>96.8</v>
      </c>
      <c r="B221" s="2">
        <v>1</v>
      </c>
    </row>
    <row r="222" spans="1:2" x14ac:dyDescent="0.45">
      <c r="A222" s="2">
        <v>97.1</v>
      </c>
      <c r="B222" s="2">
        <v>1</v>
      </c>
    </row>
    <row r="223" spans="1:2" x14ac:dyDescent="0.45">
      <c r="A223" s="2">
        <v>97.6</v>
      </c>
      <c r="B223" s="2">
        <v>1</v>
      </c>
    </row>
    <row r="224" spans="1:2" x14ac:dyDescent="0.45">
      <c r="A224" s="2">
        <v>98</v>
      </c>
      <c r="B224" s="2">
        <v>1</v>
      </c>
    </row>
    <row r="225" spans="1:2" x14ac:dyDescent="0.45">
      <c r="A225" s="2">
        <v>98.4</v>
      </c>
      <c r="B225" s="2">
        <v>1</v>
      </c>
    </row>
    <row r="226" spans="1:2" x14ac:dyDescent="0.45">
      <c r="A226" s="2">
        <v>98.8</v>
      </c>
      <c r="B226" s="2">
        <v>1</v>
      </c>
    </row>
    <row r="227" spans="1:2" x14ac:dyDescent="0.45">
      <c r="A227" s="2">
        <v>99.1</v>
      </c>
      <c r="B227" s="2">
        <v>4</v>
      </c>
    </row>
    <row r="228" spans="1:2" x14ac:dyDescent="0.45">
      <c r="A228" s="2">
        <v>99.6</v>
      </c>
      <c r="B228" s="2">
        <v>26</v>
      </c>
    </row>
    <row r="229" spans="1:2" x14ac:dyDescent="0.45">
      <c r="A229" s="2">
        <v>100</v>
      </c>
      <c r="B229" s="2">
        <v>161</v>
      </c>
    </row>
    <row r="230" spans="1:2" x14ac:dyDescent="0.45">
      <c r="A230" s="2">
        <v>100.4</v>
      </c>
      <c r="B230" s="2">
        <v>75</v>
      </c>
    </row>
    <row r="231" spans="1:2" x14ac:dyDescent="0.45">
      <c r="A231" s="2">
        <v>100.8</v>
      </c>
      <c r="B231" s="2">
        <v>4</v>
      </c>
    </row>
    <row r="232" spans="1:2" x14ac:dyDescent="0.45">
      <c r="A232" s="2">
        <v>101.2</v>
      </c>
      <c r="B232" s="2">
        <v>2</v>
      </c>
    </row>
    <row r="233" spans="1:2" x14ac:dyDescent="0.45">
      <c r="A233" s="2">
        <v>101.6</v>
      </c>
      <c r="B233" s="2">
        <v>1</v>
      </c>
    </row>
    <row r="234" spans="1:2" x14ac:dyDescent="0.45">
      <c r="A234" s="2">
        <v>102</v>
      </c>
      <c r="B234" s="2">
        <v>1</v>
      </c>
    </row>
    <row r="235" spans="1:2" x14ac:dyDescent="0.45">
      <c r="A235" s="2">
        <v>102.4</v>
      </c>
      <c r="B235" s="2">
        <v>2</v>
      </c>
    </row>
    <row r="236" spans="1:2" x14ac:dyDescent="0.45">
      <c r="A236" s="2">
        <v>102.8</v>
      </c>
      <c r="B236" s="2">
        <v>0</v>
      </c>
    </row>
    <row r="237" spans="1:2" x14ac:dyDescent="0.45">
      <c r="A237" s="2">
        <v>103.2</v>
      </c>
      <c r="B237" s="2">
        <v>0</v>
      </c>
    </row>
    <row r="238" spans="1:2" x14ac:dyDescent="0.45">
      <c r="A238" s="2">
        <v>103.6</v>
      </c>
      <c r="B238" s="2">
        <v>1</v>
      </c>
    </row>
    <row r="239" spans="1:2" x14ac:dyDescent="0.45">
      <c r="A239" s="2">
        <v>104</v>
      </c>
      <c r="B239" s="2">
        <v>1</v>
      </c>
    </row>
    <row r="240" spans="1:2" x14ac:dyDescent="0.45">
      <c r="A240" s="2">
        <v>104.4</v>
      </c>
      <c r="B240" s="2">
        <v>1</v>
      </c>
    </row>
    <row r="241" spans="1:2" x14ac:dyDescent="0.45">
      <c r="A241" s="2">
        <v>104.8</v>
      </c>
      <c r="B241" s="2">
        <v>0</v>
      </c>
    </row>
    <row r="242" spans="1:2" x14ac:dyDescent="0.45">
      <c r="A242" s="2">
        <v>105.2</v>
      </c>
      <c r="B242" s="2">
        <v>1</v>
      </c>
    </row>
    <row r="243" spans="1:2" x14ac:dyDescent="0.45">
      <c r="A243" s="2">
        <v>105.6</v>
      </c>
      <c r="B243" s="2">
        <v>1</v>
      </c>
    </row>
    <row r="244" spans="1:2" x14ac:dyDescent="0.45">
      <c r="A244" s="2">
        <v>106</v>
      </c>
      <c r="B244" s="2">
        <v>1</v>
      </c>
    </row>
    <row r="245" spans="1:2" x14ac:dyDescent="0.45">
      <c r="A245" s="2">
        <v>106.4</v>
      </c>
      <c r="B245" s="2">
        <v>1</v>
      </c>
    </row>
    <row r="246" spans="1:2" x14ac:dyDescent="0.45">
      <c r="A246" s="2">
        <v>106.8</v>
      </c>
      <c r="B246" s="2">
        <v>1</v>
      </c>
    </row>
    <row r="247" spans="1:2" x14ac:dyDescent="0.45">
      <c r="A247" s="2">
        <v>107.2</v>
      </c>
      <c r="B247" s="2">
        <v>0</v>
      </c>
    </row>
    <row r="248" spans="1:2" x14ac:dyDescent="0.45">
      <c r="A248" s="2">
        <v>107.6</v>
      </c>
      <c r="B248" s="2">
        <v>1</v>
      </c>
    </row>
    <row r="249" spans="1:2" x14ac:dyDescent="0.45">
      <c r="A249" s="2">
        <v>108</v>
      </c>
      <c r="B249" s="2">
        <v>1</v>
      </c>
    </row>
    <row r="250" spans="1:2" x14ac:dyDescent="0.45">
      <c r="A250" s="2">
        <v>108.4</v>
      </c>
      <c r="B250" s="2">
        <v>1</v>
      </c>
    </row>
    <row r="251" spans="1:2" x14ac:dyDescent="0.45">
      <c r="A251" s="2">
        <v>108.8</v>
      </c>
      <c r="B251" s="2">
        <v>0</v>
      </c>
    </row>
    <row r="252" spans="1:2" x14ac:dyDescent="0.45">
      <c r="A252" s="2">
        <v>109.2</v>
      </c>
      <c r="B252" s="2">
        <v>0</v>
      </c>
    </row>
    <row r="253" spans="1:2" x14ac:dyDescent="0.45">
      <c r="A253" s="2">
        <v>109.6</v>
      </c>
      <c r="B253" s="2">
        <v>1</v>
      </c>
    </row>
    <row r="254" spans="1:2" x14ac:dyDescent="0.45">
      <c r="A254" s="2">
        <v>110</v>
      </c>
      <c r="B254" s="2">
        <v>0</v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3"/>
  <sheetViews>
    <sheetView tabSelected="1" topLeftCell="D1" workbookViewId="0">
      <pane ySplit="3" topLeftCell="A9" activePane="bottomLeft" state="frozen"/>
      <selection pane="bottomLeft" activeCell="K24" sqref="K24"/>
    </sheetView>
  </sheetViews>
  <sheetFormatPr defaultRowHeight="14.25" x14ac:dyDescent="0.45"/>
  <cols>
    <col min="2" max="2" width="16" customWidth="1"/>
    <col min="3" max="4" width="20" customWidth="1"/>
    <col min="5" max="5" width="2" customWidth="1"/>
    <col min="6" max="6" width="16" customWidth="1"/>
    <col min="7" max="8" width="20" customWidth="1"/>
    <col min="9" max="9" width="2" customWidth="1"/>
    <col min="10" max="10" width="16" customWidth="1"/>
    <col min="11" max="12" width="20" customWidth="1"/>
    <col min="13" max="13" width="2" customWidth="1"/>
    <col min="14" max="14" width="16" customWidth="1"/>
    <col min="15" max="16" width="20" customWidth="1"/>
    <col min="17" max="17" width="2" customWidth="1"/>
    <col min="18" max="18" width="16" customWidth="1"/>
    <col min="19" max="19" width="20" customWidth="1"/>
    <col min="20" max="20" width="12.46484375" customWidth="1"/>
  </cols>
  <sheetData>
    <row r="1" spans="1:43" ht="30" customHeight="1" x14ac:dyDescent="0.45"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0"/>
      <c r="Y1" s="30" t="s">
        <v>24</v>
      </c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</row>
    <row r="2" spans="1:43" ht="40.049999999999997" customHeight="1" x14ac:dyDescent="0.45">
      <c r="B2" s="13" t="s">
        <v>1</v>
      </c>
      <c r="C2" s="14"/>
      <c r="D2" s="14"/>
      <c r="F2" s="9" t="s">
        <v>2</v>
      </c>
      <c r="G2" s="10"/>
      <c r="J2" s="9" t="s">
        <v>3</v>
      </c>
      <c r="K2" s="10"/>
      <c r="N2" s="9" t="s">
        <v>4</v>
      </c>
      <c r="O2" s="10"/>
      <c r="R2" s="9" t="s">
        <v>5</v>
      </c>
      <c r="S2" s="10"/>
      <c r="Y2" s="17" t="s">
        <v>1</v>
      </c>
      <c r="Z2" s="18"/>
      <c r="AA2" s="19"/>
      <c r="AC2" s="17" t="s">
        <v>2</v>
      </c>
      <c r="AD2" s="19"/>
      <c r="AG2" s="20" t="s">
        <v>3</v>
      </c>
      <c r="AH2" s="10"/>
      <c r="AJ2" s="21"/>
      <c r="AK2" s="22" t="s">
        <v>4</v>
      </c>
      <c r="AL2" s="14"/>
      <c r="AO2" s="22" t="s">
        <v>5</v>
      </c>
      <c r="AP2" s="14"/>
    </row>
    <row r="3" spans="1:43" ht="30" customHeight="1" x14ac:dyDescent="0.45">
      <c r="B3" s="1" t="s">
        <v>6</v>
      </c>
      <c r="C3" s="1" t="s">
        <v>7</v>
      </c>
      <c r="D3" s="4" t="s">
        <v>8</v>
      </c>
      <c r="F3" s="3" t="s">
        <v>6</v>
      </c>
      <c r="G3" s="3" t="s">
        <v>7</v>
      </c>
      <c r="H3" s="4" t="s">
        <v>8</v>
      </c>
      <c r="J3" s="1" t="s">
        <v>6</v>
      </c>
      <c r="K3" s="1" t="s">
        <v>7</v>
      </c>
      <c r="L3" s="4" t="s">
        <v>8</v>
      </c>
      <c r="N3" s="3" t="s">
        <v>6</v>
      </c>
      <c r="O3" s="3" t="s">
        <v>7</v>
      </c>
      <c r="P3" s="4" t="s">
        <v>8</v>
      </c>
      <c r="R3" s="1" t="s">
        <v>6</v>
      </c>
      <c r="S3" s="1" t="s">
        <v>7</v>
      </c>
      <c r="T3" s="4" t="s">
        <v>8</v>
      </c>
      <c r="Y3" s="23" t="s">
        <v>6</v>
      </c>
      <c r="Z3" s="23" t="s">
        <v>7</v>
      </c>
      <c r="AA3" s="23" t="s">
        <v>8</v>
      </c>
      <c r="AB3" s="7"/>
      <c r="AC3" s="24" t="s">
        <v>6</v>
      </c>
      <c r="AD3" s="24" t="s">
        <v>7</v>
      </c>
      <c r="AE3" s="24" t="s">
        <v>8</v>
      </c>
      <c r="AG3" s="23" t="s">
        <v>6</v>
      </c>
      <c r="AH3" s="23" t="s">
        <v>7</v>
      </c>
      <c r="AI3" s="23" t="s">
        <v>8</v>
      </c>
      <c r="AJ3" s="6"/>
      <c r="AK3" s="24" t="s">
        <v>6</v>
      </c>
      <c r="AL3" s="24" t="s">
        <v>7</v>
      </c>
      <c r="AM3" s="24" t="s">
        <v>8</v>
      </c>
      <c r="AO3" s="23" t="s">
        <v>6</v>
      </c>
      <c r="AP3" s="23" t="s">
        <v>7</v>
      </c>
      <c r="AQ3" s="23" t="s">
        <v>8</v>
      </c>
    </row>
    <row r="4" spans="1:43" ht="26.25" x14ac:dyDescent="0.45">
      <c r="B4" s="2" t="s">
        <v>9</v>
      </c>
      <c r="C4" s="2" t="s">
        <v>10</v>
      </c>
      <c r="D4" s="5"/>
      <c r="F4" s="2" t="s">
        <v>9</v>
      </c>
      <c r="G4" s="2" t="s">
        <v>10</v>
      </c>
      <c r="H4" s="5"/>
      <c r="J4" s="2" t="s">
        <v>9</v>
      </c>
      <c r="K4" s="2" t="s">
        <v>10</v>
      </c>
      <c r="L4" s="5"/>
      <c r="N4" s="2" t="s">
        <v>9</v>
      </c>
      <c r="O4" s="2" t="s">
        <v>10</v>
      </c>
      <c r="P4" s="5"/>
      <c r="R4" s="2" t="s">
        <v>9</v>
      </c>
      <c r="S4" s="2" t="s">
        <v>10</v>
      </c>
      <c r="T4" s="5"/>
      <c r="Y4" s="25" t="s">
        <v>23</v>
      </c>
      <c r="Z4" s="25" t="s">
        <v>10</v>
      </c>
      <c r="AA4" s="25"/>
      <c r="AB4" s="26"/>
      <c r="AC4" s="27" t="s">
        <v>23</v>
      </c>
      <c r="AD4" s="27" t="s">
        <v>10</v>
      </c>
      <c r="AE4" s="27"/>
      <c r="AG4" s="25" t="s">
        <v>23</v>
      </c>
      <c r="AH4" s="25" t="s">
        <v>10</v>
      </c>
      <c r="AI4" s="25"/>
      <c r="AJ4" s="26"/>
      <c r="AK4" s="27" t="s">
        <v>23</v>
      </c>
      <c r="AL4" s="27" t="s">
        <v>10</v>
      </c>
      <c r="AM4" s="27"/>
      <c r="AO4" s="25" t="s">
        <v>23</v>
      </c>
      <c r="AP4" s="25" t="s">
        <v>10</v>
      </c>
      <c r="AQ4" s="25"/>
    </row>
    <row r="5" spans="1:43" x14ac:dyDescent="0.45">
      <c r="B5" s="2">
        <v>40.200000000000003</v>
      </c>
      <c r="C5" s="2">
        <v>19</v>
      </c>
      <c r="D5" s="5">
        <f t="shared" ref="D5:D10" si="0">B5*C5</f>
        <v>763.80000000000007</v>
      </c>
      <c r="F5" s="2">
        <v>40.200000000000003</v>
      </c>
      <c r="G5" s="2">
        <v>30</v>
      </c>
      <c r="H5" s="5">
        <f t="shared" ref="H5:H10" si="1">F5*G5</f>
        <v>1206</v>
      </c>
      <c r="J5" s="2">
        <v>40.200000000000003</v>
      </c>
      <c r="K5" s="2">
        <v>30</v>
      </c>
      <c r="L5" s="5">
        <f t="shared" ref="L5:L10" si="2">J5*K5</f>
        <v>1206</v>
      </c>
      <c r="N5" s="2">
        <v>40.200000000000003</v>
      </c>
      <c r="O5" s="2">
        <v>23</v>
      </c>
      <c r="P5" s="5">
        <f t="shared" ref="P5:P10" si="3">N5*O5</f>
        <v>924.6</v>
      </c>
      <c r="R5" s="2">
        <v>40.200000000000003</v>
      </c>
      <c r="S5" s="2">
        <v>22</v>
      </c>
      <c r="T5" s="5">
        <f t="shared" ref="T5:T10" si="4">R5*S5</f>
        <v>884.40000000000009</v>
      </c>
      <c r="Y5" s="26">
        <v>40</v>
      </c>
      <c r="Z5" s="26">
        <v>22</v>
      </c>
      <c r="AA5" s="26">
        <f t="shared" ref="AA5:AA13" si="5">Y5*Z5</f>
        <v>880</v>
      </c>
      <c r="AB5" s="26"/>
      <c r="AC5" s="26">
        <v>40</v>
      </c>
      <c r="AD5" s="26">
        <v>23</v>
      </c>
      <c r="AE5" s="26">
        <f t="shared" ref="AE5:AE13" si="6">AC5*AD5</f>
        <v>920</v>
      </c>
      <c r="AG5" s="26">
        <v>40</v>
      </c>
      <c r="AH5" s="26">
        <v>21</v>
      </c>
      <c r="AI5" s="26">
        <f t="shared" ref="AI5:AI13" si="7">AG5*AH5</f>
        <v>840</v>
      </c>
      <c r="AJ5" s="26"/>
      <c r="AK5" s="26">
        <v>40</v>
      </c>
      <c r="AL5" s="26">
        <v>23</v>
      </c>
      <c r="AM5" s="26">
        <f t="shared" ref="AM5:AM13" si="8">AK5*AL5</f>
        <v>920</v>
      </c>
      <c r="AO5" s="26">
        <v>40</v>
      </c>
      <c r="AP5" s="26">
        <v>19</v>
      </c>
      <c r="AQ5" s="26">
        <f t="shared" ref="AQ5:AQ13" si="9">AO5*AP5</f>
        <v>760</v>
      </c>
    </row>
    <row r="6" spans="1:43" x14ac:dyDescent="0.45">
      <c r="B6" s="2">
        <v>40.4</v>
      </c>
      <c r="C6" s="2">
        <v>69</v>
      </c>
      <c r="D6" s="5">
        <f t="shared" si="0"/>
        <v>2787.6</v>
      </c>
      <c r="F6" s="2">
        <v>40.4</v>
      </c>
      <c r="G6" s="2">
        <v>46</v>
      </c>
      <c r="H6" s="5">
        <f t="shared" si="1"/>
        <v>1858.3999999999999</v>
      </c>
      <c r="J6" s="2">
        <v>40.4</v>
      </c>
      <c r="K6" s="2">
        <v>57</v>
      </c>
      <c r="L6" s="5">
        <f t="shared" si="2"/>
        <v>2302.7999999999997</v>
      </c>
      <c r="N6" s="2">
        <v>40.4</v>
      </c>
      <c r="O6" s="2">
        <v>59</v>
      </c>
      <c r="P6" s="5">
        <f t="shared" si="3"/>
        <v>2383.6</v>
      </c>
      <c r="R6" s="2">
        <v>40.4</v>
      </c>
      <c r="S6" s="2">
        <v>44</v>
      </c>
      <c r="T6" s="5">
        <f t="shared" si="4"/>
        <v>1777.6</v>
      </c>
      <c r="Y6" s="26">
        <v>40.200000000000003</v>
      </c>
      <c r="Z6" s="26">
        <v>30</v>
      </c>
      <c r="AA6" s="26">
        <f t="shared" si="5"/>
        <v>1206</v>
      </c>
      <c r="AB6" s="26"/>
      <c r="AC6" s="26">
        <v>40.200000000000003</v>
      </c>
      <c r="AD6" s="26">
        <v>25</v>
      </c>
      <c r="AE6" s="26">
        <f t="shared" si="6"/>
        <v>1005.0000000000001</v>
      </c>
      <c r="AG6" s="26">
        <v>40.200000000000003</v>
      </c>
      <c r="AH6" s="26">
        <v>24</v>
      </c>
      <c r="AI6" s="26">
        <f t="shared" si="7"/>
        <v>964.80000000000007</v>
      </c>
      <c r="AJ6" s="26"/>
      <c r="AK6" s="26">
        <v>40.200000000000003</v>
      </c>
      <c r="AL6" s="26">
        <v>37</v>
      </c>
      <c r="AM6" s="26">
        <f t="shared" si="8"/>
        <v>1487.4</v>
      </c>
      <c r="AO6" s="26">
        <v>40.200000000000003</v>
      </c>
      <c r="AP6" s="26">
        <v>32</v>
      </c>
      <c r="AQ6" s="26">
        <f t="shared" si="9"/>
        <v>1286.4000000000001</v>
      </c>
    </row>
    <row r="7" spans="1:43" x14ac:dyDescent="0.45">
      <c r="B7" s="2">
        <v>40.5</v>
      </c>
      <c r="C7" s="2">
        <v>112</v>
      </c>
      <c r="D7" s="5">
        <f t="shared" si="0"/>
        <v>4536</v>
      </c>
      <c r="F7" s="2">
        <v>40.5</v>
      </c>
      <c r="G7" s="2">
        <v>107</v>
      </c>
      <c r="H7" s="5">
        <f t="shared" si="1"/>
        <v>4333.5</v>
      </c>
      <c r="J7" s="2">
        <v>40.5</v>
      </c>
      <c r="K7" s="2">
        <v>121</v>
      </c>
      <c r="L7" s="5">
        <f t="shared" si="2"/>
        <v>4900.5</v>
      </c>
      <c r="N7" s="2">
        <v>40.5</v>
      </c>
      <c r="O7" s="2">
        <v>100</v>
      </c>
      <c r="P7" s="5">
        <f t="shared" si="3"/>
        <v>4050</v>
      </c>
      <c r="R7" s="2">
        <v>40.5</v>
      </c>
      <c r="S7" s="2">
        <v>107</v>
      </c>
      <c r="T7" s="5">
        <f t="shared" si="4"/>
        <v>4333.5</v>
      </c>
      <c r="Y7" s="26">
        <v>40.4</v>
      </c>
      <c r="Z7" s="26">
        <v>83</v>
      </c>
      <c r="AA7" s="26">
        <f t="shared" si="5"/>
        <v>3353.2</v>
      </c>
      <c r="AB7" s="26"/>
      <c r="AC7" s="26">
        <v>40.4</v>
      </c>
      <c r="AD7" s="26">
        <v>88</v>
      </c>
      <c r="AE7" s="26">
        <f t="shared" si="6"/>
        <v>3555.2</v>
      </c>
      <c r="AG7" s="26">
        <v>40.4</v>
      </c>
      <c r="AH7" s="26">
        <v>77</v>
      </c>
      <c r="AI7" s="26">
        <f t="shared" si="7"/>
        <v>3110.7999999999997</v>
      </c>
      <c r="AJ7" s="26"/>
      <c r="AK7" s="26">
        <v>40.4</v>
      </c>
      <c r="AL7" s="26">
        <v>82</v>
      </c>
      <c r="AM7" s="26">
        <f t="shared" si="8"/>
        <v>3312.7999999999997</v>
      </c>
      <c r="AO7" s="26">
        <v>40.4</v>
      </c>
      <c r="AP7" s="26">
        <v>92</v>
      </c>
      <c r="AQ7" s="26">
        <f t="shared" si="9"/>
        <v>3716.7999999999997</v>
      </c>
    </row>
    <row r="8" spans="1:43" x14ac:dyDescent="0.45">
      <c r="B8" s="2">
        <v>40.799999999999997</v>
      </c>
      <c r="C8" s="2">
        <v>566</v>
      </c>
      <c r="D8" s="5">
        <f t="shared" si="0"/>
        <v>23092.799999999999</v>
      </c>
      <c r="F8" s="2">
        <v>40.799999999999997</v>
      </c>
      <c r="G8" s="2">
        <v>559</v>
      </c>
      <c r="H8" s="5">
        <f t="shared" si="1"/>
        <v>22807.199999999997</v>
      </c>
      <c r="J8" s="2">
        <v>40.799999999999997</v>
      </c>
      <c r="K8" s="2">
        <v>567</v>
      </c>
      <c r="L8" s="5">
        <f t="shared" si="2"/>
        <v>23133.599999999999</v>
      </c>
      <c r="N8" s="2">
        <v>40.799999999999997</v>
      </c>
      <c r="O8" s="2">
        <v>571</v>
      </c>
      <c r="P8" s="5">
        <f t="shared" si="3"/>
        <v>23296.799999999999</v>
      </c>
      <c r="R8" s="2">
        <v>40.799999999999997</v>
      </c>
      <c r="S8" s="2">
        <v>573</v>
      </c>
      <c r="T8" s="5">
        <f t="shared" si="4"/>
        <v>23378.399999999998</v>
      </c>
      <c r="Y8" s="26">
        <v>40.5</v>
      </c>
      <c r="Z8" s="26">
        <v>212</v>
      </c>
      <c r="AA8" s="26">
        <f t="shared" si="5"/>
        <v>8586</v>
      </c>
      <c r="AB8" s="26"/>
      <c r="AC8" s="26">
        <v>40.5</v>
      </c>
      <c r="AD8" s="26">
        <v>202</v>
      </c>
      <c r="AE8" s="26">
        <f t="shared" si="6"/>
        <v>8181</v>
      </c>
      <c r="AG8" s="26">
        <v>40.5</v>
      </c>
      <c r="AH8" s="26">
        <v>208</v>
      </c>
      <c r="AI8" s="26">
        <f t="shared" si="7"/>
        <v>8424</v>
      </c>
      <c r="AJ8" s="26"/>
      <c r="AK8" s="26">
        <v>40.5</v>
      </c>
      <c r="AL8" s="26">
        <v>207</v>
      </c>
      <c r="AM8" s="26">
        <f t="shared" si="8"/>
        <v>8383.5</v>
      </c>
      <c r="AO8" s="26">
        <v>40.5</v>
      </c>
      <c r="AP8" s="26">
        <v>221</v>
      </c>
      <c r="AQ8" s="26">
        <f t="shared" si="9"/>
        <v>8950.5</v>
      </c>
    </row>
    <row r="9" spans="1:43" x14ac:dyDescent="0.45">
      <c r="B9" s="2">
        <v>41</v>
      </c>
      <c r="C9" s="2">
        <v>327</v>
      </c>
      <c r="D9" s="5">
        <f t="shared" si="0"/>
        <v>13407</v>
      </c>
      <c r="F9" s="2">
        <v>41</v>
      </c>
      <c r="G9" s="2">
        <v>318</v>
      </c>
      <c r="H9" s="5">
        <f t="shared" si="1"/>
        <v>13038</v>
      </c>
      <c r="J9" s="2">
        <v>41</v>
      </c>
      <c r="K9" s="2">
        <v>306</v>
      </c>
      <c r="L9" s="5">
        <f t="shared" si="2"/>
        <v>12546</v>
      </c>
      <c r="N9" s="2">
        <v>41</v>
      </c>
      <c r="O9" s="2">
        <v>327</v>
      </c>
      <c r="P9" s="5">
        <f t="shared" si="3"/>
        <v>13407</v>
      </c>
      <c r="R9" s="2">
        <v>41</v>
      </c>
      <c r="S9" s="2">
        <v>328</v>
      </c>
      <c r="T9" s="5">
        <f t="shared" si="4"/>
        <v>13448</v>
      </c>
      <c r="Y9" s="26">
        <v>40.799999999999997</v>
      </c>
      <c r="Z9" s="26">
        <v>645</v>
      </c>
      <c r="AA9" s="26">
        <f t="shared" si="5"/>
        <v>26315.999999999996</v>
      </c>
      <c r="AB9" s="26"/>
      <c r="AC9" s="26">
        <v>40.799999999999997</v>
      </c>
      <c r="AD9" s="26">
        <v>701</v>
      </c>
      <c r="AE9" s="26">
        <f t="shared" si="6"/>
        <v>28600.799999999999</v>
      </c>
      <c r="AG9" s="26">
        <v>40.799999999999997</v>
      </c>
      <c r="AH9" s="26">
        <v>698</v>
      </c>
      <c r="AI9" s="26">
        <f t="shared" si="7"/>
        <v>28478.399999999998</v>
      </c>
      <c r="AJ9" s="26"/>
      <c r="AK9" s="26">
        <v>40.799999999999997</v>
      </c>
      <c r="AL9" s="26">
        <v>707</v>
      </c>
      <c r="AM9" s="26">
        <f t="shared" si="8"/>
        <v>28845.599999999999</v>
      </c>
      <c r="AO9" s="26">
        <v>40.799999999999997</v>
      </c>
      <c r="AP9" s="26">
        <v>684</v>
      </c>
      <c r="AQ9" s="26">
        <f t="shared" si="9"/>
        <v>27907.199999999997</v>
      </c>
    </row>
    <row r="10" spans="1:43" x14ac:dyDescent="0.45">
      <c r="B10" s="2">
        <v>41.2</v>
      </c>
      <c r="C10" s="2">
        <v>51</v>
      </c>
      <c r="D10" s="5">
        <f t="shared" si="0"/>
        <v>2101.2000000000003</v>
      </c>
      <c r="F10" s="2">
        <v>41.2</v>
      </c>
      <c r="G10" s="2">
        <v>49</v>
      </c>
      <c r="H10" s="5">
        <f t="shared" si="1"/>
        <v>2018.8000000000002</v>
      </c>
      <c r="J10" s="2">
        <v>41.2</v>
      </c>
      <c r="K10" s="2">
        <v>77</v>
      </c>
      <c r="L10" s="5">
        <f t="shared" si="2"/>
        <v>3172.4</v>
      </c>
      <c r="N10" s="2">
        <v>41.2</v>
      </c>
      <c r="O10" s="2">
        <v>71</v>
      </c>
      <c r="P10" s="5">
        <f t="shared" si="3"/>
        <v>2925.2000000000003</v>
      </c>
      <c r="R10" s="2">
        <v>41.2</v>
      </c>
      <c r="S10" s="2">
        <v>51</v>
      </c>
      <c r="T10" s="5">
        <f t="shared" si="4"/>
        <v>2101.2000000000003</v>
      </c>
      <c r="Y10" s="26">
        <v>41</v>
      </c>
      <c r="Z10" s="26">
        <v>98</v>
      </c>
      <c r="AA10" s="26">
        <f t="shared" si="5"/>
        <v>4018</v>
      </c>
      <c r="AB10" s="26"/>
      <c r="AC10" s="26">
        <v>41</v>
      </c>
      <c r="AD10" s="26">
        <v>113</v>
      </c>
      <c r="AE10" s="26">
        <f t="shared" si="6"/>
        <v>4633</v>
      </c>
      <c r="AG10" s="26">
        <v>41</v>
      </c>
      <c r="AH10" s="26">
        <v>126</v>
      </c>
      <c r="AI10" s="26">
        <f t="shared" si="7"/>
        <v>5166</v>
      </c>
      <c r="AJ10" s="26"/>
      <c r="AK10" s="26">
        <v>41</v>
      </c>
      <c r="AL10" s="26">
        <v>123</v>
      </c>
      <c r="AM10" s="26">
        <f t="shared" si="8"/>
        <v>5043</v>
      </c>
      <c r="AO10" s="26">
        <v>41</v>
      </c>
      <c r="AP10" s="26">
        <v>134</v>
      </c>
      <c r="AQ10" s="26">
        <f t="shared" si="9"/>
        <v>5494</v>
      </c>
    </row>
    <row r="11" spans="1:43" x14ac:dyDescent="0.45">
      <c r="C11">
        <f>SUM(C5:C10)</f>
        <v>1144</v>
      </c>
      <c r="D11">
        <f>SUM(D5:D10)</f>
        <v>46688.399999999994</v>
      </c>
      <c r="G11">
        <f>SUM(G5:G10)</f>
        <v>1109</v>
      </c>
      <c r="H11">
        <f>SUM(H5:H10)</f>
        <v>45261.9</v>
      </c>
      <c r="K11">
        <f>SUM(K5:K10)</f>
        <v>1158</v>
      </c>
      <c r="L11">
        <f>SUM(L5:L10)</f>
        <v>47261.299999999996</v>
      </c>
      <c r="O11">
        <f>SUM(O5:O10)</f>
        <v>1151</v>
      </c>
      <c r="P11">
        <f>SUM(P5:P10)</f>
        <v>46987.199999999997</v>
      </c>
      <c r="S11">
        <f>SUM(S5:S10)</f>
        <v>1125</v>
      </c>
      <c r="T11">
        <f>SUM(T5:T10)</f>
        <v>45923.099999999991</v>
      </c>
      <c r="Y11" s="26">
        <v>41.2</v>
      </c>
      <c r="Z11" s="26">
        <v>45</v>
      </c>
      <c r="AA11" s="26">
        <f t="shared" si="5"/>
        <v>1854.0000000000002</v>
      </c>
      <c r="AB11" s="26"/>
      <c r="AC11" s="26">
        <v>41.2</v>
      </c>
      <c r="AD11" s="26">
        <v>42</v>
      </c>
      <c r="AE11" s="26">
        <f t="shared" si="6"/>
        <v>1730.4</v>
      </c>
      <c r="AG11" s="26">
        <v>41.2</v>
      </c>
      <c r="AH11" s="26">
        <v>59</v>
      </c>
      <c r="AI11" s="26">
        <f t="shared" si="7"/>
        <v>2430.8000000000002</v>
      </c>
      <c r="AJ11" s="26"/>
      <c r="AK11" s="26">
        <v>41.2</v>
      </c>
      <c r="AL11" s="26">
        <v>43</v>
      </c>
      <c r="AM11" s="26">
        <f t="shared" si="8"/>
        <v>1771.6000000000001</v>
      </c>
      <c r="AO11" s="26">
        <v>41.2</v>
      </c>
      <c r="AP11" s="26">
        <v>46</v>
      </c>
      <c r="AQ11" s="26">
        <f t="shared" si="9"/>
        <v>1895.2</v>
      </c>
    </row>
    <row r="12" spans="1:43" x14ac:dyDescent="0.45">
      <c r="A12" t="s">
        <v>11</v>
      </c>
      <c r="D12" s="5">
        <f>D11/C11</f>
        <v>40.811538461538454</v>
      </c>
      <c r="H12" s="5">
        <f>H11/G11</f>
        <v>40.813255184851222</v>
      </c>
      <c r="L12" s="5">
        <f>L11/K11</f>
        <v>40.812867012089804</v>
      </c>
      <c r="P12" s="5">
        <f>P11/O11</f>
        <v>40.82293657688966</v>
      </c>
      <c r="T12" s="5">
        <f>T11/S11</f>
        <v>40.820533333333323</v>
      </c>
      <c r="Y12" s="26">
        <v>41.4</v>
      </c>
      <c r="Z12" s="26">
        <v>33</v>
      </c>
      <c r="AA12" s="26">
        <f t="shared" si="5"/>
        <v>1366.2</v>
      </c>
      <c r="AB12" s="26"/>
      <c r="AC12" s="26">
        <v>41.4</v>
      </c>
      <c r="AD12" s="26">
        <v>39</v>
      </c>
      <c r="AE12" s="26">
        <f t="shared" si="6"/>
        <v>1614.6</v>
      </c>
      <c r="AG12" s="26">
        <v>41.4</v>
      </c>
      <c r="AH12" s="26">
        <v>36</v>
      </c>
      <c r="AI12" s="26">
        <f t="shared" si="7"/>
        <v>1490.3999999999999</v>
      </c>
      <c r="AJ12" s="26"/>
      <c r="AK12" s="26">
        <v>41.4</v>
      </c>
      <c r="AL12" s="26">
        <v>34</v>
      </c>
      <c r="AM12" s="26">
        <f t="shared" si="8"/>
        <v>1407.6</v>
      </c>
      <c r="AO12" s="26">
        <v>41.4</v>
      </c>
      <c r="AP12" s="26">
        <v>29</v>
      </c>
      <c r="AQ12" s="26">
        <f t="shared" si="9"/>
        <v>1200.5999999999999</v>
      </c>
    </row>
    <row r="13" spans="1:43" x14ac:dyDescent="0.45">
      <c r="A13" t="s">
        <v>12</v>
      </c>
      <c r="D13">
        <f>RADIANS(D12/2)</f>
        <v>0.35614785947907363</v>
      </c>
      <c r="H13">
        <f>RADIANS(H12/2)</f>
        <v>0.3561628407161504</v>
      </c>
      <c r="L13">
        <f>RADIANS(L12/2)</f>
        <v>0.35615945326977372</v>
      </c>
      <c r="P13">
        <f>RADIANS(P12/2)</f>
        <v>0.35624732679977394</v>
      </c>
      <c r="T13">
        <f>RADIANS(T12/2)</f>
        <v>0.3562263545433812</v>
      </c>
      <c r="Y13" s="26">
        <v>41.5</v>
      </c>
      <c r="Z13" s="26">
        <v>30</v>
      </c>
      <c r="AA13" s="26">
        <f t="shared" si="5"/>
        <v>1245</v>
      </c>
      <c r="AB13" s="26"/>
      <c r="AC13" s="26">
        <v>41.5</v>
      </c>
      <c r="AD13" s="26">
        <v>40</v>
      </c>
      <c r="AE13" s="26">
        <f t="shared" si="6"/>
        <v>1660</v>
      </c>
      <c r="AG13" s="26">
        <v>41.5</v>
      </c>
      <c r="AH13" s="26">
        <v>34</v>
      </c>
      <c r="AI13" s="26">
        <f t="shared" si="7"/>
        <v>1411</v>
      </c>
      <c r="AJ13" s="26"/>
      <c r="AK13" s="26">
        <v>41.5</v>
      </c>
      <c r="AL13" s="26">
        <v>29</v>
      </c>
      <c r="AM13" s="26">
        <f t="shared" si="8"/>
        <v>1203.5</v>
      </c>
      <c r="AO13" s="26">
        <v>41.5</v>
      </c>
      <c r="AP13" s="26">
        <v>23</v>
      </c>
      <c r="AQ13" s="26">
        <f t="shared" si="9"/>
        <v>954.5</v>
      </c>
    </row>
    <row r="14" spans="1:43" x14ac:dyDescent="0.45">
      <c r="Z14" s="28">
        <f>SUM(Z5:Z13)</f>
        <v>1198</v>
      </c>
      <c r="AA14" s="28">
        <f>SUM(AA5:AA13)</f>
        <v>48824.399999999994</v>
      </c>
      <c r="AD14" s="28">
        <f>SUM(AD5:AD13)</f>
        <v>1273</v>
      </c>
      <c r="AE14" s="28">
        <f>SUM(AE5:AE13)</f>
        <v>51900</v>
      </c>
      <c r="AH14" s="28">
        <f>SUM(AH5:AH13)</f>
        <v>1283</v>
      </c>
      <c r="AI14" s="28">
        <f>SUM(AI5:AI13)</f>
        <v>52316.200000000004</v>
      </c>
      <c r="AL14" s="28">
        <f>SUM(AL5:AL13)</f>
        <v>1285</v>
      </c>
      <c r="AM14" s="28">
        <f>SUM(AM5:AM13)</f>
        <v>52375</v>
      </c>
      <c r="AP14" s="28">
        <f>SUM(AP5:AP13)</f>
        <v>1280</v>
      </c>
      <c r="AQ14" s="28">
        <f>SUM(AQ5:AQ13)</f>
        <v>52165.19999999999</v>
      </c>
    </row>
    <row r="15" spans="1:43" x14ac:dyDescent="0.45">
      <c r="AA15" s="28">
        <f>AA14/Z14</f>
        <v>40.754924874791314</v>
      </c>
      <c r="AE15" s="28">
        <f>AE14/AD14</f>
        <v>40.769835035349566</v>
      </c>
      <c r="AI15" s="28">
        <f>AI14/AH14</f>
        <v>40.776461418550277</v>
      </c>
      <c r="AM15" s="28">
        <f>AM14/AL14</f>
        <v>40.75875486381323</v>
      </c>
      <c r="AQ15" s="28">
        <f>AQ14/AP14</f>
        <v>40.754062499999989</v>
      </c>
    </row>
    <row r="16" spans="1:43" x14ac:dyDescent="0.45">
      <c r="A16" t="s">
        <v>13</v>
      </c>
      <c r="C16">
        <f>SUM(D13+H13+L13+P13+T13)/5</f>
        <v>0.35618876696163054</v>
      </c>
      <c r="F16" t="s">
        <v>14</v>
      </c>
      <c r="G16">
        <f>1.3922*0.0000000001</f>
        <v>1.3922000000000001E-10</v>
      </c>
      <c r="AA16" s="28">
        <f>RADIANS(AA15/2)</f>
        <v>0.35565381273402308</v>
      </c>
      <c r="AE16" s="28">
        <f>RADIANS(AE15/2)</f>
        <v>0.35578392843089435</v>
      </c>
      <c r="AI16" s="28">
        <f>RADIANS(AI15/2)</f>
        <v>0.35584175453306999</v>
      </c>
      <c r="AM16" s="28">
        <f>RADIANS(AM15/2)</f>
        <v>0.35568723569339694</v>
      </c>
      <c r="AQ16" s="28">
        <f>RADIANS(AQ15/2)</f>
        <v>0.3556462870942757</v>
      </c>
    </row>
    <row r="18" spans="1:30" x14ac:dyDescent="0.45">
      <c r="A18" t="s">
        <v>15</v>
      </c>
      <c r="C18">
        <f>(1*G16)/(2* SIN(C16))</f>
        <v>1.9962446022559859E-10</v>
      </c>
    </row>
    <row r="19" spans="1:30" x14ac:dyDescent="0.45">
      <c r="A19" t="s">
        <v>16</v>
      </c>
      <c r="Z19" s="28">
        <f>SUM(AA16+AE16+AI16+AM16+AQ16)/5</f>
        <v>0.35572260369713204</v>
      </c>
      <c r="AC19" s="29" t="s">
        <v>14</v>
      </c>
      <c r="AD19" s="28">
        <v>1.3922000000000001E-10</v>
      </c>
    </row>
    <row r="21" spans="1:30" x14ac:dyDescent="0.45">
      <c r="H21" t="s">
        <v>28</v>
      </c>
      <c r="K21">
        <f>STDEV(D12,H12,L12,P12,T12,AA15,AE15,AI15,AM15,AQ15)</f>
        <v>2.9117241865633772E-2</v>
      </c>
    </row>
    <row r="22" spans="1:30" x14ac:dyDescent="0.45">
      <c r="H22" t="s">
        <v>29</v>
      </c>
      <c r="K22">
        <f>AVERAGE(D12,H12,L12,P12,T12,AA15,AE15,AI15,AM15,AQ15)</f>
        <v>40.789516926120683</v>
      </c>
    </row>
    <row r="23" spans="1:30" x14ac:dyDescent="0.45">
      <c r="H23" t="s">
        <v>30</v>
      </c>
      <c r="K23">
        <f>K21/K22</f>
        <v>7.1384130188087002E-4</v>
      </c>
    </row>
  </sheetData>
  <mergeCells count="12">
    <mergeCell ref="Y1:AQ1"/>
    <mergeCell ref="Y2:AA2"/>
    <mergeCell ref="AC2:AD2"/>
    <mergeCell ref="AG2:AH2"/>
    <mergeCell ref="AK2:AL2"/>
    <mergeCell ref="AO2:AP2"/>
    <mergeCell ref="F2:G2"/>
    <mergeCell ref="J2:K2"/>
    <mergeCell ref="N2:O2"/>
    <mergeCell ref="R2:S2"/>
    <mergeCell ref="B1:S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4"/>
  <sheetViews>
    <sheetView topLeftCell="B1" zoomScale="83" workbookViewId="0">
      <pane ySplit="4" topLeftCell="A10" activePane="bottomLeft" state="frozen"/>
      <selection pane="bottomLeft" activeCell="L20" sqref="L20:L22"/>
    </sheetView>
  </sheetViews>
  <sheetFormatPr defaultRowHeight="14.25" x14ac:dyDescent="0.45"/>
  <cols>
    <col min="1" max="1" width="30" customWidth="1"/>
    <col min="2" max="3" width="16" customWidth="1"/>
    <col min="4" max="4" width="20" customWidth="1"/>
    <col min="5" max="5" width="2" customWidth="1"/>
    <col min="6" max="7" width="16" customWidth="1"/>
    <col min="8" max="8" width="20" customWidth="1"/>
    <col min="9" max="9" width="2" customWidth="1"/>
    <col min="10" max="11" width="16" customWidth="1"/>
    <col min="12" max="12" width="20" customWidth="1"/>
    <col min="13" max="13" width="2" customWidth="1"/>
    <col min="14" max="15" width="16" customWidth="1"/>
    <col min="16" max="16" width="20" customWidth="1"/>
    <col min="17" max="17" width="2" customWidth="1"/>
    <col min="18" max="19" width="16" customWidth="1"/>
    <col min="20" max="20" width="20" customWidth="1"/>
    <col min="26" max="26" width="10.86328125" bestFit="1" customWidth="1"/>
  </cols>
  <sheetData>
    <row r="1" spans="1:43" ht="30" customHeight="1" x14ac:dyDescent="0.45">
      <c r="B1" s="16" t="s">
        <v>18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43" ht="40.049999999999997" customHeight="1" x14ac:dyDescent="0.45">
      <c r="B2" s="15" t="s">
        <v>1</v>
      </c>
      <c r="C2" s="14"/>
      <c r="D2" s="14"/>
      <c r="F2" s="15" t="s">
        <v>2</v>
      </c>
      <c r="G2" s="14"/>
      <c r="J2" s="15" t="s">
        <v>3</v>
      </c>
      <c r="K2" s="14"/>
      <c r="N2" s="15" t="s">
        <v>4</v>
      </c>
      <c r="O2" s="14"/>
      <c r="R2" s="15" t="s">
        <v>5</v>
      </c>
      <c r="S2" s="14"/>
      <c r="Y2" s="17" t="s">
        <v>1</v>
      </c>
      <c r="Z2" s="18"/>
      <c r="AA2" s="19"/>
      <c r="AC2" s="17" t="s">
        <v>2</v>
      </c>
      <c r="AD2" s="19"/>
      <c r="AG2" s="20" t="s">
        <v>3</v>
      </c>
      <c r="AH2" s="10"/>
      <c r="AJ2" s="21"/>
      <c r="AK2" s="22" t="s">
        <v>4</v>
      </c>
      <c r="AL2" s="14"/>
      <c r="AO2" s="22" t="s">
        <v>5</v>
      </c>
      <c r="AP2" s="14"/>
    </row>
    <row r="3" spans="1:43" ht="30" customHeight="1" x14ac:dyDescent="0.45">
      <c r="B3" s="6" t="s">
        <v>6</v>
      </c>
      <c r="C3" s="6" t="s">
        <v>7</v>
      </c>
      <c r="D3" s="6" t="s">
        <v>8</v>
      </c>
      <c r="F3" s="7" t="s">
        <v>6</v>
      </c>
      <c r="G3" s="7" t="s">
        <v>7</v>
      </c>
      <c r="H3" s="7" t="s">
        <v>8</v>
      </c>
      <c r="J3" s="6" t="s">
        <v>6</v>
      </c>
      <c r="K3" s="6" t="s">
        <v>7</v>
      </c>
      <c r="L3" s="6" t="s">
        <v>8</v>
      </c>
      <c r="N3" s="7" t="s">
        <v>6</v>
      </c>
      <c r="O3" s="7" t="s">
        <v>7</v>
      </c>
      <c r="P3" s="7" t="s">
        <v>8</v>
      </c>
      <c r="R3" s="6" t="s">
        <v>6</v>
      </c>
      <c r="S3" s="6" t="s">
        <v>7</v>
      </c>
      <c r="T3" s="6" t="s">
        <v>8</v>
      </c>
      <c r="Y3" s="23" t="s">
        <v>6</v>
      </c>
      <c r="Z3" s="23" t="s">
        <v>7</v>
      </c>
      <c r="AA3" s="23" t="s">
        <v>8</v>
      </c>
      <c r="AB3" s="7"/>
      <c r="AC3" s="24" t="s">
        <v>6</v>
      </c>
      <c r="AD3" s="24" t="s">
        <v>7</v>
      </c>
      <c r="AE3" s="24" t="s">
        <v>8</v>
      </c>
      <c r="AG3" s="23" t="s">
        <v>6</v>
      </c>
      <c r="AH3" s="23" t="s">
        <v>7</v>
      </c>
      <c r="AI3" s="23" t="s">
        <v>8</v>
      </c>
      <c r="AJ3" s="6"/>
      <c r="AK3" s="24" t="s">
        <v>6</v>
      </c>
      <c r="AL3" s="24" t="s">
        <v>7</v>
      </c>
      <c r="AM3" s="24" t="s">
        <v>8</v>
      </c>
      <c r="AO3" s="23" t="s">
        <v>6</v>
      </c>
      <c r="AP3" s="23" t="s">
        <v>7</v>
      </c>
      <c r="AQ3" s="23" t="s">
        <v>8</v>
      </c>
    </row>
    <row r="4" spans="1:43" ht="26.25" x14ac:dyDescent="0.45">
      <c r="B4" s="5" t="s">
        <v>19</v>
      </c>
      <c r="C4" s="5" t="s">
        <v>10</v>
      </c>
      <c r="D4" s="5" t="s">
        <v>20</v>
      </c>
      <c r="F4" s="5" t="s">
        <v>19</v>
      </c>
      <c r="G4" s="5" t="s">
        <v>10</v>
      </c>
      <c r="H4" s="5" t="s">
        <v>20</v>
      </c>
      <c r="J4" s="5" t="s">
        <v>19</v>
      </c>
      <c r="K4" s="5" t="s">
        <v>10</v>
      </c>
      <c r="L4" s="5" t="s">
        <v>20</v>
      </c>
      <c r="N4" s="5" t="s">
        <v>19</v>
      </c>
      <c r="O4" s="5" t="s">
        <v>10</v>
      </c>
      <c r="P4" s="5" t="s">
        <v>20</v>
      </c>
      <c r="R4" s="5" t="s">
        <v>19</v>
      </c>
      <c r="S4" s="5" t="s">
        <v>10</v>
      </c>
      <c r="T4" s="5" t="s">
        <v>20</v>
      </c>
      <c r="Y4" s="25" t="s">
        <v>23</v>
      </c>
      <c r="Z4" s="25" t="s">
        <v>10</v>
      </c>
      <c r="AA4" s="25"/>
      <c r="AB4" s="26"/>
      <c r="AC4" s="27" t="s">
        <v>23</v>
      </c>
      <c r="AD4" s="27" t="s">
        <v>10</v>
      </c>
      <c r="AE4" s="27"/>
      <c r="AG4" s="25" t="s">
        <v>23</v>
      </c>
      <c r="AH4" s="25" t="s">
        <v>10</v>
      </c>
      <c r="AI4" s="25"/>
      <c r="AJ4" s="26"/>
      <c r="AK4" s="27" t="s">
        <v>23</v>
      </c>
      <c r="AL4" s="27" t="s">
        <v>10</v>
      </c>
      <c r="AM4" s="27"/>
      <c r="AO4" s="25" t="s">
        <v>23</v>
      </c>
      <c r="AP4" s="25" t="s">
        <v>10</v>
      </c>
      <c r="AQ4" s="25"/>
    </row>
    <row r="5" spans="1:43" x14ac:dyDescent="0.45">
      <c r="B5" s="5">
        <v>44.8</v>
      </c>
      <c r="C5" s="5">
        <v>32</v>
      </c>
      <c r="D5" s="5">
        <f t="shared" ref="D5:D11" si="0">B5*C5</f>
        <v>1433.6</v>
      </c>
      <c r="F5" s="5">
        <v>44.8</v>
      </c>
      <c r="G5" s="5">
        <v>58</v>
      </c>
      <c r="H5" s="5">
        <f t="shared" ref="H5:H11" si="1">F5*G5</f>
        <v>2598.3999999999996</v>
      </c>
      <c r="J5" s="5">
        <v>44.8</v>
      </c>
      <c r="K5" s="5">
        <v>51</v>
      </c>
      <c r="L5" s="5">
        <f t="shared" ref="L5:L11" si="2">J5*K5</f>
        <v>2284.7999999999997</v>
      </c>
      <c r="N5" s="5">
        <v>44.8</v>
      </c>
      <c r="O5" s="5">
        <v>68</v>
      </c>
      <c r="P5" s="5">
        <f t="shared" ref="P5:P11" si="3">N5*O5</f>
        <v>3046.3999999999996</v>
      </c>
      <c r="R5" s="5">
        <v>44.8</v>
      </c>
      <c r="S5" s="5">
        <v>43</v>
      </c>
      <c r="T5" s="5">
        <f t="shared" ref="T5:T11" si="4">R5*S5</f>
        <v>1926.3999999999999</v>
      </c>
      <c r="Y5" s="26">
        <v>44.4</v>
      </c>
      <c r="Z5" s="26">
        <v>24</v>
      </c>
      <c r="AA5" s="26">
        <f t="shared" ref="AA5:AA15" si="5">Y5*Z5</f>
        <v>1065.5999999999999</v>
      </c>
      <c r="AB5" s="26"/>
      <c r="AC5" s="26">
        <v>44.4</v>
      </c>
      <c r="AD5" s="26">
        <v>19</v>
      </c>
      <c r="AE5" s="26">
        <f t="shared" ref="AE5:AE15" si="6">AC5*AD5</f>
        <v>843.6</v>
      </c>
      <c r="AG5" s="26">
        <v>44.4</v>
      </c>
      <c r="AH5" s="26">
        <v>26</v>
      </c>
      <c r="AI5" s="26">
        <f t="shared" ref="AI5:AI15" si="7">AG5*AH5</f>
        <v>1154.3999999999999</v>
      </c>
      <c r="AJ5" s="26"/>
      <c r="AK5" s="26">
        <v>44.4</v>
      </c>
      <c r="AL5" s="26">
        <v>20</v>
      </c>
      <c r="AM5" s="26">
        <f t="shared" ref="AM5:AM15" si="8">AK5*AL5</f>
        <v>888</v>
      </c>
      <c r="AO5" s="26">
        <v>44.4</v>
      </c>
      <c r="AP5" s="26">
        <v>19</v>
      </c>
      <c r="AQ5" s="26">
        <f t="shared" ref="AQ5:AQ15" si="9">AO5*AP5</f>
        <v>843.6</v>
      </c>
    </row>
    <row r="6" spans="1:43" x14ac:dyDescent="0.45">
      <c r="B6" s="5">
        <v>45</v>
      </c>
      <c r="C6" s="5">
        <v>151</v>
      </c>
      <c r="D6" s="5">
        <f t="shared" si="0"/>
        <v>6795</v>
      </c>
      <c r="F6" s="5">
        <v>45</v>
      </c>
      <c r="G6" s="5">
        <v>184</v>
      </c>
      <c r="H6" s="5">
        <f t="shared" si="1"/>
        <v>8280</v>
      </c>
      <c r="J6" s="5">
        <v>45</v>
      </c>
      <c r="K6" s="5">
        <v>169</v>
      </c>
      <c r="L6" s="5">
        <f t="shared" si="2"/>
        <v>7605</v>
      </c>
      <c r="N6" s="5">
        <v>45</v>
      </c>
      <c r="O6" s="5">
        <v>158</v>
      </c>
      <c r="P6" s="5">
        <f t="shared" si="3"/>
        <v>7110</v>
      </c>
      <c r="R6" s="5">
        <v>45</v>
      </c>
      <c r="S6" s="5">
        <v>174</v>
      </c>
      <c r="T6" s="5">
        <f t="shared" si="4"/>
        <v>7830</v>
      </c>
      <c r="Y6" s="26">
        <v>44.5</v>
      </c>
      <c r="Z6" s="26">
        <v>24</v>
      </c>
      <c r="AA6" s="26">
        <f t="shared" si="5"/>
        <v>1068</v>
      </c>
      <c r="AB6" s="26"/>
      <c r="AC6" s="26">
        <v>44.5</v>
      </c>
      <c r="AD6" s="26">
        <v>26</v>
      </c>
      <c r="AE6" s="26">
        <f t="shared" si="6"/>
        <v>1157</v>
      </c>
      <c r="AG6" s="26">
        <v>44.5</v>
      </c>
      <c r="AH6" s="26">
        <v>31</v>
      </c>
      <c r="AI6" s="26">
        <f t="shared" si="7"/>
        <v>1379.5</v>
      </c>
      <c r="AJ6" s="26"/>
      <c r="AK6" s="26">
        <v>44.5</v>
      </c>
      <c r="AL6" s="26">
        <v>34</v>
      </c>
      <c r="AM6" s="26">
        <f t="shared" si="8"/>
        <v>1513</v>
      </c>
      <c r="AO6" s="26">
        <v>44.5</v>
      </c>
      <c r="AP6" s="26">
        <v>37</v>
      </c>
      <c r="AQ6" s="26">
        <f t="shared" si="9"/>
        <v>1646.5</v>
      </c>
    </row>
    <row r="7" spans="1:43" x14ac:dyDescent="0.45">
      <c r="B7" s="5">
        <v>45.2</v>
      </c>
      <c r="C7" s="5">
        <v>1010</v>
      </c>
      <c r="D7" s="5">
        <f t="shared" si="0"/>
        <v>45652</v>
      </c>
      <c r="F7" s="5">
        <v>45.2</v>
      </c>
      <c r="G7" s="5">
        <v>1094</v>
      </c>
      <c r="H7" s="5">
        <f t="shared" si="1"/>
        <v>49448.800000000003</v>
      </c>
      <c r="J7" s="5">
        <v>45.2</v>
      </c>
      <c r="K7" s="5">
        <v>1048</v>
      </c>
      <c r="L7" s="5">
        <f t="shared" si="2"/>
        <v>47369.600000000006</v>
      </c>
      <c r="N7" s="5">
        <v>45.2</v>
      </c>
      <c r="O7" s="5">
        <v>1052</v>
      </c>
      <c r="P7" s="5">
        <f t="shared" si="3"/>
        <v>47550.400000000001</v>
      </c>
      <c r="R7" s="5">
        <v>45.2</v>
      </c>
      <c r="S7" s="5">
        <v>968</v>
      </c>
      <c r="T7" s="5">
        <f t="shared" si="4"/>
        <v>43753.600000000006</v>
      </c>
      <c r="Y7" s="26">
        <v>44.8</v>
      </c>
      <c r="Z7" s="26">
        <v>142</v>
      </c>
      <c r="AA7" s="26">
        <f t="shared" si="5"/>
        <v>6361.5999999999995</v>
      </c>
      <c r="AB7" s="26"/>
      <c r="AC7" s="26">
        <v>44.8</v>
      </c>
      <c r="AD7" s="26">
        <v>146</v>
      </c>
      <c r="AE7" s="26">
        <f t="shared" si="6"/>
        <v>6540.7999999999993</v>
      </c>
      <c r="AG7" s="26">
        <v>44.8</v>
      </c>
      <c r="AH7" s="26">
        <v>184</v>
      </c>
      <c r="AI7" s="26">
        <f t="shared" si="7"/>
        <v>8243.1999999999989</v>
      </c>
      <c r="AJ7" s="26"/>
      <c r="AK7" s="26">
        <v>44.8</v>
      </c>
      <c r="AL7" s="26">
        <v>137</v>
      </c>
      <c r="AM7" s="26">
        <f t="shared" si="8"/>
        <v>6137.5999999999995</v>
      </c>
      <c r="AO7" s="26">
        <v>44.8</v>
      </c>
      <c r="AP7" s="26">
        <v>133</v>
      </c>
      <c r="AQ7" s="26">
        <f t="shared" si="9"/>
        <v>5958.4</v>
      </c>
    </row>
    <row r="8" spans="1:43" x14ac:dyDescent="0.45">
      <c r="B8" s="5">
        <v>45.4</v>
      </c>
      <c r="C8" s="5">
        <v>2236</v>
      </c>
      <c r="D8" s="5">
        <f t="shared" si="0"/>
        <v>101514.4</v>
      </c>
      <c r="F8" s="5">
        <v>45.4</v>
      </c>
      <c r="G8" s="5">
        <v>2250</v>
      </c>
      <c r="H8" s="5">
        <f t="shared" si="1"/>
        <v>102150</v>
      </c>
      <c r="J8" s="5">
        <v>45.4</v>
      </c>
      <c r="K8" s="5">
        <v>2220</v>
      </c>
      <c r="L8" s="5">
        <f t="shared" si="2"/>
        <v>100788</v>
      </c>
      <c r="N8" s="5">
        <v>45.4</v>
      </c>
      <c r="O8" s="5">
        <v>2260</v>
      </c>
      <c r="P8" s="5">
        <f t="shared" si="3"/>
        <v>102604</v>
      </c>
      <c r="R8" s="5">
        <v>45.4</v>
      </c>
      <c r="S8" s="5">
        <v>2264</v>
      </c>
      <c r="T8" s="5">
        <f t="shared" si="4"/>
        <v>102785.59999999999</v>
      </c>
      <c r="Y8" s="26">
        <v>45</v>
      </c>
      <c r="Z8" s="26">
        <v>744</v>
      </c>
      <c r="AA8" s="26">
        <f t="shared" si="5"/>
        <v>33480</v>
      </c>
      <c r="AB8" s="26"/>
      <c r="AC8" s="26">
        <v>45</v>
      </c>
      <c r="AD8" s="26">
        <v>712</v>
      </c>
      <c r="AE8" s="26">
        <f t="shared" si="6"/>
        <v>32040</v>
      </c>
      <c r="AG8" s="26">
        <v>45</v>
      </c>
      <c r="AH8" s="26">
        <v>650</v>
      </c>
      <c r="AI8" s="26">
        <f t="shared" si="7"/>
        <v>29250</v>
      </c>
      <c r="AJ8" s="26"/>
      <c r="AK8" s="26">
        <v>45</v>
      </c>
      <c r="AL8" s="26">
        <v>692</v>
      </c>
      <c r="AM8" s="26">
        <f t="shared" si="8"/>
        <v>31140</v>
      </c>
      <c r="AO8" s="26">
        <v>45</v>
      </c>
      <c r="AP8" s="26">
        <v>639</v>
      </c>
      <c r="AQ8" s="26">
        <f t="shared" si="9"/>
        <v>28755</v>
      </c>
    </row>
    <row r="9" spans="1:43" x14ac:dyDescent="0.45">
      <c r="B9" s="5">
        <v>45.5</v>
      </c>
      <c r="C9" s="5">
        <v>1277</v>
      </c>
      <c r="D9" s="5">
        <f t="shared" si="0"/>
        <v>58103.5</v>
      </c>
      <c r="F9" s="5">
        <v>45.5</v>
      </c>
      <c r="G9" s="5">
        <v>1145</v>
      </c>
      <c r="H9" s="5">
        <f t="shared" si="1"/>
        <v>52097.5</v>
      </c>
      <c r="J9" s="5">
        <v>45.5</v>
      </c>
      <c r="K9" s="5">
        <v>1202</v>
      </c>
      <c r="L9" s="5">
        <f t="shared" si="2"/>
        <v>54691</v>
      </c>
      <c r="N9" s="5">
        <v>45.5</v>
      </c>
      <c r="O9" s="5">
        <v>1234</v>
      </c>
      <c r="P9" s="5">
        <f t="shared" si="3"/>
        <v>56147</v>
      </c>
      <c r="R9" s="5">
        <v>45.5</v>
      </c>
      <c r="S9" s="5">
        <v>1223</v>
      </c>
      <c r="T9" s="5">
        <f t="shared" si="4"/>
        <v>55646.5</v>
      </c>
      <c r="Y9" s="26">
        <v>45.2</v>
      </c>
      <c r="Z9" s="26">
        <v>2288</v>
      </c>
      <c r="AA9" s="26">
        <f t="shared" si="5"/>
        <v>103417.60000000001</v>
      </c>
      <c r="AB9" s="26"/>
      <c r="AC9" s="26">
        <v>45.2</v>
      </c>
      <c r="AD9" s="26">
        <v>2263</v>
      </c>
      <c r="AE9" s="26">
        <f t="shared" si="6"/>
        <v>102287.6</v>
      </c>
      <c r="AG9" s="26">
        <v>45.2</v>
      </c>
      <c r="AH9" s="26">
        <v>2214</v>
      </c>
      <c r="AI9" s="26">
        <f t="shared" si="7"/>
        <v>100072.8</v>
      </c>
      <c r="AJ9" s="26"/>
      <c r="AK9" s="26">
        <v>45.2</v>
      </c>
      <c r="AL9" s="26">
        <v>2193</v>
      </c>
      <c r="AM9" s="26">
        <f t="shared" si="8"/>
        <v>99123.6</v>
      </c>
      <c r="AO9" s="26">
        <v>45.2</v>
      </c>
      <c r="AP9" s="26">
        <v>2172</v>
      </c>
      <c r="AQ9" s="26">
        <f t="shared" si="9"/>
        <v>98174.400000000009</v>
      </c>
    </row>
    <row r="10" spans="1:43" x14ac:dyDescent="0.45">
      <c r="B10" s="5">
        <v>45.8</v>
      </c>
      <c r="C10" s="5">
        <v>76</v>
      </c>
      <c r="D10" s="5">
        <f t="shared" si="0"/>
        <v>3480.7999999999997</v>
      </c>
      <c r="F10" s="5">
        <v>45.8</v>
      </c>
      <c r="G10" s="5">
        <v>73</v>
      </c>
      <c r="H10" s="5">
        <f t="shared" si="1"/>
        <v>3343.3999999999996</v>
      </c>
      <c r="J10" s="5">
        <v>45.8</v>
      </c>
      <c r="K10" s="5">
        <v>85</v>
      </c>
      <c r="L10" s="5">
        <f t="shared" si="2"/>
        <v>3892.9999999999995</v>
      </c>
      <c r="N10" s="5">
        <v>45.8</v>
      </c>
      <c r="O10" s="5">
        <v>91</v>
      </c>
      <c r="P10" s="5">
        <f t="shared" si="3"/>
        <v>4167.8</v>
      </c>
      <c r="R10" s="5">
        <v>45.8</v>
      </c>
      <c r="S10" s="5">
        <v>91</v>
      </c>
      <c r="T10" s="5">
        <f t="shared" si="4"/>
        <v>4167.8</v>
      </c>
      <c r="Y10" s="26">
        <v>45.4</v>
      </c>
      <c r="Z10" s="26">
        <v>1086</v>
      </c>
      <c r="AA10" s="26">
        <f t="shared" si="5"/>
        <v>49304.4</v>
      </c>
      <c r="AB10" s="26"/>
      <c r="AC10" s="26">
        <v>45.4</v>
      </c>
      <c r="AD10" s="26">
        <v>1105</v>
      </c>
      <c r="AE10" s="26">
        <f t="shared" si="6"/>
        <v>50167</v>
      </c>
      <c r="AG10" s="26">
        <v>45.4</v>
      </c>
      <c r="AH10" s="26">
        <v>1184</v>
      </c>
      <c r="AI10" s="26">
        <f t="shared" si="7"/>
        <v>53753.599999999999</v>
      </c>
      <c r="AJ10" s="26"/>
      <c r="AK10" s="26">
        <v>45.4</v>
      </c>
      <c r="AL10" s="26">
        <v>1187</v>
      </c>
      <c r="AM10" s="26">
        <f t="shared" si="8"/>
        <v>53889.799999999996</v>
      </c>
      <c r="AO10" s="26">
        <v>45.4</v>
      </c>
      <c r="AP10" s="26">
        <v>1179</v>
      </c>
      <c r="AQ10" s="26">
        <f t="shared" si="9"/>
        <v>53526.6</v>
      </c>
    </row>
    <row r="11" spans="1:43" x14ac:dyDescent="0.45">
      <c r="B11" s="5">
        <v>46</v>
      </c>
      <c r="C11" s="5">
        <v>20</v>
      </c>
      <c r="D11" s="5">
        <f t="shared" si="0"/>
        <v>920</v>
      </c>
      <c r="F11" s="5">
        <v>46</v>
      </c>
      <c r="G11" s="5">
        <v>34</v>
      </c>
      <c r="H11" s="5">
        <f t="shared" si="1"/>
        <v>1564</v>
      </c>
      <c r="J11" s="5">
        <v>46</v>
      </c>
      <c r="K11" s="5">
        <v>26</v>
      </c>
      <c r="L11" s="5">
        <f t="shared" si="2"/>
        <v>1196</v>
      </c>
      <c r="N11" s="5">
        <v>46</v>
      </c>
      <c r="O11" s="5">
        <v>28</v>
      </c>
      <c r="P11" s="5">
        <f t="shared" si="3"/>
        <v>1288</v>
      </c>
      <c r="R11" s="5">
        <v>46</v>
      </c>
      <c r="S11" s="5">
        <v>27</v>
      </c>
      <c r="T11" s="5">
        <f t="shared" si="4"/>
        <v>1242</v>
      </c>
      <c r="Y11" s="26">
        <v>45.5</v>
      </c>
      <c r="Z11" s="26">
        <v>148</v>
      </c>
      <c r="AA11" s="26">
        <f t="shared" si="5"/>
        <v>6734</v>
      </c>
      <c r="AB11" s="26"/>
      <c r="AC11" s="26">
        <v>45.5</v>
      </c>
      <c r="AD11" s="26">
        <v>199</v>
      </c>
      <c r="AE11" s="26">
        <f t="shared" si="6"/>
        <v>9054.5</v>
      </c>
      <c r="AG11" s="26">
        <v>45.5</v>
      </c>
      <c r="AH11" s="26">
        <v>156</v>
      </c>
      <c r="AI11" s="26">
        <f t="shared" si="7"/>
        <v>7098</v>
      </c>
      <c r="AJ11" s="26"/>
      <c r="AK11" s="26">
        <v>45.5</v>
      </c>
      <c r="AL11" s="26">
        <v>184</v>
      </c>
      <c r="AM11" s="26">
        <f t="shared" si="8"/>
        <v>8372</v>
      </c>
      <c r="AO11" s="26">
        <v>45.5</v>
      </c>
      <c r="AP11" s="26">
        <v>190</v>
      </c>
      <c r="AQ11" s="26">
        <f t="shared" si="9"/>
        <v>8645</v>
      </c>
    </row>
    <row r="12" spans="1:43" x14ac:dyDescent="0.45">
      <c r="C12" s="5">
        <f>SUM(C5:C11)</f>
        <v>4802</v>
      </c>
      <c r="D12" s="5">
        <f>SUM(D5:D11)</f>
        <v>217899.3</v>
      </c>
      <c r="G12" s="5">
        <f>SUM(G5:G11)</f>
        <v>4838</v>
      </c>
      <c r="H12" s="5">
        <f>SUM(H5:H11)</f>
        <v>219482.1</v>
      </c>
      <c r="K12" s="5">
        <f>SUM(K5:K11)</f>
        <v>4801</v>
      </c>
      <c r="L12" s="5">
        <f>SUM(L5:L11)</f>
        <v>217827.40000000002</v>
      </c>
      <c r="O12" s="5">
        <f>SUM(O5:O11)</f>
        <v>4891</v>
      </c>
      <c r="P12" s="5">
        <f>SUM(P5:P11)</f>
        <v>221913.59999999998</v>
      </c>
      <c r="S12" s="5">
        <f>SUM(S5:S11)</f>
        <v>4790</v>
      </c>
      <c r="T12" s="5">
        <f>SUM(T5:T11)</f>
        <v>217351.9</v>
      </c>
      <c r="Y12" s="26">
        <v>45.8</v>
      </c>
      <c r="Z12" s="26">
        <v>29</v>
      </c>
      <c r="AA12" s="26">
        <f t="shared" si="5"/>
        <v>1328.1999999999998</v>
      </c>
      <c r="AB12" s="26"/>
      <c r="AC12" s="26">
        <v>45.8</v>
      </c>
      <c r="AD12" s="26">
        <v>27</v>
      </c>
      <c r="AE12" s="26">
        <f t="shared" si="6"/>
        <v>1236.5999999999999</v>
      </c>
      <c r="AG12" s="26">
        <v>45.8</v>
      </c>
      <c r="AH12" s="26">
        <v>35</v>
      </c>
      <c r="AI12" s="26">
        <f t="shared" si="7"/>
        <v>1603</v>
      </c>
      <c r="AJ12" s="26"/>
      <c r="AK12" s="26">
        <v>45.8</v>
      </c>
      <c r="AL12" s="26">
        <v>36</v>
      </c>
      <c r="AM12" s="26">
        <f t="shared" si="8"/>
        <v>1648.8</v>
      </c>
      <c r="AO12" s="26">
        <v>45.8</v>
      </c>
      <c r="AP12" s="26">
        <v>36</v>
      </c>
      <c r="AQ12" s="26">
        <f t="shared" si="9"/>
        <v>1648.8</v>
      </c>
    </row>
    <row r="13" spans="1:43" x14ac:dyDescent="0.45">
      <c r="A13" s="8" t="s">
        <v>11</v>
      </c>
      <c r="D13" s="5">
        <f>D12/C12</f>
        <v>45.376780508121612</v>
      </c>
      <c r="H13" s="5">
        <f>H12/G12</f>
        <v>45.36628772219926</v>
      </c>
      <c r="L13" s="5">
        <f>L12/K12</f>
        <v>45.371255988335768</v>
      </c>
      <c r="P13" s="5">
        <f>P12/O12</f>
        <v>45.371825802494371</v>
      </c>
      <c r="T13" s="5">
        <f>T12/S12</f>
        <v>45.376179540709813</v>
      </c>
      <c r="Y13" s="26">
        <v>46</v>
      </c>
      <c r="Z13" s="26">
        <v>35</v>
      </c>
      <c r="AA13" s="26">
        <f t="shared" si="5"/>
        <v>1610</v>
      </c>
      <c r="AB13" s="26"/>
      <c r="AC13" s="26">
        <v>46</v>
      </c>
      <c r="AD13" s="26">
        <v>20</v>
      </c>
      <c r="AE13" s="26">
        <f t="shared" si="6"/>
        <v>920</v>
      </c>
      <c r="AG13" s="26">
        <v>46</v>
      </c>
      <c r="AH13" s="26">
        <v>27</v>
      </c>
      <c r="AI13" s="26">
        <f t="shared" si="7"/>
        <v>1242</v>
      </c>
      <c r="AJ13" s="26"/>
      <c r="AK13" s="26">
        <v>46</v>
      </c>
      <c r="AL13" s="26">
        <v>23</v>
      </c>
      <c r="AM13" s="26">
        <f t="shared" si="8"/>
        <v>1058</v>
      </c>
      <c r="AO13" s="26">
        <v>46</v>
      </c>
      <c r="AP13" s="26">
        <v>18</v>
      </c>
      <c r="AQ13" s="26">
        <f t="shared" si="9"/>
        <v>828</v>
      </c>
    </row>
    <row r="14" spans="1:43" x14ac:dyDescent="0.45">
      <c r="A14" s="8" t="s">
        <v>12</v>
      </c>
      <c r="D14" s="5">
        <f>RADIANS(D13/2)</f>
        <v>0.39598711191075381</v>
      </c>
      <c r="H14" s="5">
        <f>RADIANS(H13/2)</f>
        <v>0.39589554507972785</v>
      </c>
      <c r="L14" s="5">
        <f>RADIANS(L13/2)</f>
        <v>0.39593890138082655</v>
      </c>
      <c r="P14" s="5">
        <f>RADIANS(P13/2)</f>
        <v>0.39594387394742259</v>
      </c>
      <c r="T14" s="5">
        <f>RADIANS(T13/2)</f>
        <v>0.39598186748073727</v>
      </c>
      <c r="Y14" s="26">
        <v>46.2</v>
      </c>
      <c r="Z14" s="26">
        <v>28</v>
      </c>
      <c r="AA14" s="26">
        <f t="shared" si="5"/>
        <v>1293.6000000000001</v>
      </c>
      <c r="AB14" s="26"/>
      <c r="AC14" s="26">
        <v>46.2</v>
      </c>
      <c r="AD14" s="26">
        <v>14</v>
      </c>
      <c r="AE14" s="26">
        <f t="shared" si="6"/>
        <v>646.80000000000007</v>
      </c>
      <c r="AG14" s="26">
        <v>46.2</v>
      </c>
      <c r="AH14" s="26">
        <v>15</v>
      </c>
      <c r="AI14" s="26">
        <f t="shared" si="7"/>
        <v>693</v>
      </c>
      <c r="AJ14" s="26"/>
      <c r="AK14" s="26">
        <v>46.2</v>
      </c>
      <c r="AL14" s="26">
        <v>22</v>
      </c>
      <c r="AM14" s="26">
        <f t="shared" si="8"/>
        <v>1016.4000000000001</v>
      </c>
      <c r="AO14" s="26">
        <v>46.2</v>
      </c>
      <c r="AP14" s="26">
        <v>23</v>
      </c>
      <c r="AQ14" s="26">
        <f t="shared" si="9"/>
        <v>1062.6000000000001</v>
      </c>
    </row>
    <row r="15" spans="1:43" x14ac:dyDescent="0.45">
      <c r="Y15" s="26">
        <v>46.4</v>
      </c>
      <c r="Z15" s="26">
        <v>18</v>
      </c>
      <c r="AA15" s="26">
        <f t="shared" si="5"/>
        <v>835.19999999999993</v>
      </c>
      <c r="AB15" s="26"/>
      <c r="AC15" s="26">
        <v>46.4</v>
      </c>
      <c r="AD15" s="26">
        <v>26</v>
      </c>
      <c r="AE15" s="26">
        <f t="shared" si="6"/>
        <v>1206.3999999999999</v>
      </c>
      <c r="AG15" s="26">
        <v>46.4</v>
      </c>
      <c r="AH15" s="26">
        <v>28</v>
      </c>
      <c r="AI15" s="26">
        <f t="shared" si="7"/>
        <v>1299.2</v>
      </c>
      <c r="AJ15" s="26"/>
      <c r="AK15" s="26">
        <v>46.4</v>
      </c>
      <c r="AL15" s="26">
        <v>25</v>
      </c>
      <c r="AM15" s="26">
        <f t="shared" si="8"/>
        <v>1160</v>
      </c>
      <c r="AO15" s="26">
        <v>46.4</v>
      </c>
      <c r="AP15" s="26">
        <v>24</v>
      </c>
      <c r="AQ15" s="26">
        <f t="shared" si="9"/>
        <v>1113.5999999999999</v>
      </c>
    </row>
    <row r="16" spans="1:43" x14ac:dyDescent="0.45">
      <c r="Z16" s="28">
        <f>SUM(Z5:Z15)</f>
        <v>4566</v>
      </c>
      <c r="AA16" s="28">
        <f>SUM(AA5:AA15)</f>
        <v>206498.2</v>
      </c>
      <c r="AD16" s="28">
        <f>SUM(AD5:AD15)</f>
        <v>4557</v>
      </c>
      <c r="AE16" s="28">
        <f>SUM(AE5:AE15)</f>
        <v>206100.3</v>
      </c>
      <c r="AH16" s="28">
        <f>SUM(AH5:AH15)</f>
        <v>4550</v>
      </c>
      <c r="AI16" s="28">
        <f>SUM(AI5:AI15)</f>
        <v>205788.7</v>
      </c>
      <c r="AL16" s="28">
        <f>SUM(AL5:AL15)</f>
        <v>4553</v>
      </c>
      <c r="AM16" s="28">
        <f>SUM(AM5:AM15)</f>
        <v>205947.19999999998</v>
      </c>
      <c r="AP16" s="28">
        <f>SUM(AP5:AP15)</f>
        <v>4470</v>
      </c>
      <c r="AQ16" s="28">
        <f>SUM(AQ5:AQ15)</f>
        <v>202202.50000000003</v>
      </c>
    </row>
    <row r="17" spans="1:43" x14ac:dyDescent="0.45">
      <c r="A17" s="8" t="s">
        <v>13</v>
      </c>
      <c r="C17" s="5">
        <f>SUM(D14+H14+L14+P14+T14)/5</f>
        <v>0.39594945995989361</v>
      </c>
      <c r="F17" s="8" t="s">
        <v>14</v>
      </c>
      <c r="G17" s="5">
        <f>1.5406*0.0000000001</f>
        <v>1.5406000000000001E-10</v>
      </c>
      <c r="W17" s="29" t="s">
        <v>11</v>
      </c>
      <c r="AA17" s="28">
        <f>AA16/Z16</f>
        <v>45.225186158563297</v>
      </c>
      <c r="AE17" s="28">
        <f>AE16/AD16</f>
        <v>45.227188940092162</v>
      </c>
      <c r="AI17" s="28">
        <f>AI16/AH16</f>
        <v>45.228285714285718</v>
      </c>
      <c r="AM17" s="28">
        <f>AM16/AL16</f>
        <v>45.23329672743246</v>
      </c>
      <c r="AQ17" s="28">
        <f>AQ16/AP16</f>
        <v>45.2354586129754</v>
      </c>
    </row>
    <row r="18" spans="1:43" x14ac:dyDescent="0.45">
      <c r="W18" s="29" t="s">
        <v>12</v>
      </c>
      <c r="AA18" s="28">
        <f>RADIANS(AA17/2)</f>
        <v>0.39466420164714794</v>
      </c>
      <c r="AE18" s="28">
        <f>RADIANS(AE17/2)</f>
        <v>0.39468167921308633</v>
      </c>
      <c r="AI18" s="28">
        <f>RADIANS(AI17/2)</f>
        <v>0.39469125037350056</v>
      </c>
      <c r="AM18" s="28">
        <f>RADIANS(AM17/2)</f>
        <v>0.39473497971263627</v>
      </c>
      <c r="AQ18" s="28">
        <f>RADIANS(AQ17/2)</f>
        <v>0.39475384572302402</v>
      </c>
    </row>
    <row r="19" spans="1:43" x14ac:dyDescent="0.45">
      <c r="A19" s="8" t="s">
        <v>15</v>
      </c>
      <c r="C19" s="5">
        <f>(1*G17)/(2*SIN(C17))</f>
        <v>1.9972290112807315E-10</v>
      </c>
    </row>
    <row r="20" spans="1:43" x14ac:dyDescent="0.45">
      <c r="A20" s="8" t="s">
        <v>16</v>
      </c>
      <c r="L20" t="s">
        <v>28</v>
      </c>
      <c r="O20">
        <f>STDEV(D13,H13,L13,P13,T13,AA17,AE17,AI17,AM17,AQ17)</f>
        <v>7.52563130322213E-2</v>
      </c>
    </row>
    <row r="21" spans="1:43" x14ac:dyDescent="0.45">
      <c r="L21" t="s">
        <v>29</v>
      </c>
      <c r="O21">
        <f>AVERAGE(D13,H13,L13,P13,T13,AA17,AE17,AI17,AM17,AQ17)</f>
        <v>45.301174571520981</v>
      </c>
      <c r="W21" s="29" t="s">
        <v>13</v>
      </c>
      <c r="Z21" s="28">
        <f>SUM(AA18+AE18+AI18+AM18+AQ18)/5</f>
        <v>0.39470519133387899</v>
      </c>
      <c r="AC21" s="29" t="s">
        <v>14</v>
      </c>
      <c r="AD21" s="28">
        <v>1.5406000000000001E-10</v>
      </c>
    </row>
    <row r="22" spans="1:43" x14ac:dyDescent="0.45">
      <c r="L22" t="s">
        <v>30</v>
      </c>
      <c r="O22">
        <f>O20/O21</f>
        <v>1.6612441894504851E-3</v>
      </c>
    </row>
    <row r="23" spans="1:43" x14ac:dyDescent="0.45">
      <c r="W23" s="29" t="s">
        <v>15</v>
      </c>
      <c r="Z23" s="31">
        <f>(1*AD21)/(2*SIN(Z21))</f>
        <v>2.0031931220626266E-10</v>
      </c>
    </row>
    <row r="24" spans="1:43" x14ac:dyDescent="0.45">
      <c r="W24" s="29" t="s">
        <v>16</v>
      </c>
    </row>
  </sheetData>
  <mergeCells count="11">
    <mergeCell ref="Y2:AA2"/>
    <mergeCell ref="AC2:AD2"/>
    <mergeCell ref="AG2:AH2"/>
    <mergeCell ref="AK2:AL2"/>
    <mergeCell ref="AO2:AP2"/>
    <mergeCell ref="F2:G2"/>
    <mergeCell ref="J2:K2"/>
    <mergeCell ref="N2:O2"/>
    <mergeCell ref="R2:S2"/>
    <mergeCell ref="B1:S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5"/>
  <sheetViews>
    <sheetView topLeftCell="D1" workbookViewId="0">
      <pane ySplit="4" topLeftCell="A11" activePane="bottomLeft" state="frozen"/>
      <selection pane="bottomLeft" activeCell="J22" sqref="J22:J24"/>
    </sheetView>
  </sheetViews>
  <sheetFormatPr defaultRowHeight="14.25" x14ac:dyDescent="0.45"/>
  <cols>
    <col min="1" max="1" width="30" customWidth="1"/>
    <col min="2" max="3" width="16" customWidth="1"/>
    <col min="4" max="4" width="20" customWidth="1"/>
    <col min="5" max="5" width="2" customWidth="1"/>
    <col min="6" max="7" width="16" customWidth="1"/>
    <col min="8" max="8" width="20" customWidth="1"/>
    <col min="9" max="9" width="2" customWidth="1"/>
    <col min="10" max="11" width="16" customWidth="1"/>
    <col min="12" max="12" width="20" customWidth="1"/>
    <col min="13" max="13" width="2" customWidth="1"/>
    <col min="14" max="15" width="16" customWidth="1"/>
    <col min="16" max="16" width="20" customWidth="1"/>
    <col min="17" max="17" width="2" customWidth="1"/>
    <col min="18" max="19" width="16" customWidth="1"/>
    <col min="20" max="20" width="20" customWidth="1"/>
  </cols>
  <sheetData>
    <row r="1" spans="1:44" ht="30" customHeight="1" x14ac:dyDescent="0.45">
      <c r="B1" s="16" t="s">
        <v>21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44" ht="40.049999999999997" customHeight="1" x14ac:dyDescent="0.45">
      <c r="B2" s="15" t="s">
        <v>1</v>
      </c>
      <c r="C2" s="14"/>
      <c r="D2" s="14"/>
      <c r="F2" s="15" t="s">
        <v>2</v>
      </c>
      <c r="G2" s="14"/>
      <c r="J2" s="15" t="s">
        <v>3</v>
      </c>
      <c r="K2" s="14"/>
      <c r="N2" s="15" t="s">
        <v>4</v>
      </c>
      <c r="O2" s="14"/>
      <c r="R2" s="15" t="s">
        <v>5</v>
      </c>
      <c r="S2" s="14"/>
      <c r="Y2" s="32"/>
      <c r="Z2" s="33" t="s">
        <v>1</v>
      </c>
      <c r="AA2" s="18"/>
      <c r="AB2" s="19"/>
      <c r="AD2" s="33" t="s">
        <v>2</v>
      </c>
      <c r="AE2" s="19"/>
      <c r="AH2" s="34" t="s">
        <v>3</v>
      </c>
      <c r="AI2" s="10"/>
      <c r="AK2" s="32"/>
      <c r="AL2" s="35" t="s">
        <v>4</v>
      </c>
      <c r="AM2" s="14"/>
      <c r="AP2" s="35" t="s">
        <v>5</v>
      </c>
      <c r="AQ2" s="14"/>
    </row>
    <row r="3" spans="1:44" ht="30" customHeight="1" x14ac:dyDescent="0.45">
      <c r="B3" s="6" t="s">
        <v>6</v>
      </c>
      <c r="C3" s="6" t="s">
        <v>7</v>
      </c>
      <c r="D3" s="6" t="s">
        <v>8</v>
      </c>
      <c r="F3" s="7" t="s">
        <v>6</v>
      </c>
      <c r="G3" s="7" t="s">
        <v>7</v>
      </c>
      <c r="H3" s="7" t="s">
        <v>8</v>
      </c>
      <c r="J3" s="6" t="s">
        <v>6</v>
      </c>
      <c r="K3" s="6" t="s">
        <v>7</v>
      </c>
      <c r="L3" s="6" t="s">
        <v>8</v>
      </c>
      <c r="N3" s="7" t="s">
        <v>6</v>
      </c>
      <c r="O3" s="7" t="s">
        <v>7</v>
      </c>
      <c r="P3" s="7" t="s">
        <v>8</v>
      </c>
      <c r="R3" s="6" t="s">
        <v>6</v>
      </c>
      <c r="S3" s="6" t="s">
        <v>7</v>
      </c>
      <c r="T3" s="6" t="s">
        <v>8</v>
      </c>
      <c r="Y3" s="36"/>
      <c r="Z3" s="37" t="s">
        <v>6</v>
      </c>
      <c r="AA3" s="37" t="s">
        <v>7</v>
      </c>
      <c r="AB3" s="37" t="s">
        <v>8</v>
      </c>
      <c r="AC3" s="38"/>
      <c r="AD3" s="39" t="s">
        <v>6</v>
      </c>
      <c r="AE3" s="39" t="s">
        <v>7</v>
      </c>
      <c r="AF3" s="39" t="s">
        <v>8</v>
      </c>
      <c r="AH3" s="37" t="s">
        <v>6</v>
      </c>
      <c r="AI3" s="37" t="s">
        <v>7</v>
      </c>
      <c r="AJ3" s="37" t="s">
        <v>8</v>
      </c>
      <c r="AK3" s="36"/>
      <c r="AL3" s="39" t="s">
        <v>6</v>
      </c>
      <c r="AM3" s="39" t="s">
        <v>7</v>
      </c>
      <c r="AN3" s="39" t="s">
        <v>8</v>
      </c>
      <c r="AP3" s="37" t="s">
        <v>6</v>
      </c>
      <c r="AQ3" s="37" t="s">
        <v>7</v>
      </c>
      <c r="AR3" s="37" t="s">
        <v>8</v>
      </c>
    </row>
    <row r="4" spans="1:44" ht="26.25" x14ac:dyDescent="0.45">
      <c r="B4" s="5" t="s">
        <v>19</v>
      </c>
      <c r="C4" s="5" t="s">
        <v>10</v>
      </c>
      <c r="D4" s="5" t="s">
        <v>20</v>
      </c>
      <c r="F4" s="5" t="s">
        <v>19</v>
      </c>
      <c r="G4" s="5" t="s">
        <v>10</v>
      </c>
      <c r="H4" s="5" t="s">
        <v>20</v>
      </c>
      <c r="J4" s="5" t="s">
        <v>19</v>
      </c>
      <c r="K4" s="5" t="s">
        <v>10</v>
      </c>
      <c r="L4" s="5" t="s">
        <v>20</v>
      </c>
      <c r="N4" s="5" t="s">
        <v>19</v>
      </c>
      <c r="O4" s="5" t="s">
        <v>10</v>
      </c>
      <c r="P4" s="5" t="s">
        <v>20</v>
      </c>
      <c r="R4" s="5" t="s">
        <v>19</v>
      </c>
      <c r="S4" s="5" t="s">
        <v>10</v>
      </c>
      <c r="T4" s="5" t="s">
        <v>20</v>
      </c>
      <c r="Y4" s="40"/>
      <c r="Z4" s="41" t="s">
        <v>23</v>
      </c>
      <c r="AA4" s="41" t="s">
        <v>10</v>
      </c>
      <c r="AB4" s="41"/>
      <c r="AC4" s="40"/>
      <c r="AD4" s="42" t="s">
        <v>23</v>
      </c>
      <c r="AE4" s="42" t="s">
        <v>10</v>
      </c>
      <c r="AF4" s="42"/>
      <c r="AH4" s="41" t="s">
        <v>23</v>
      </c>
      <c r="AI4" s="41" t="s">
        <v>10</v>
      </c>
      <c r="AJ4" s="41"/>
      <c r="AK4" s="40"/>
      <c r="AL4" s="42" t="s">
        <v>23</v>
      </c>
      <c r="AM4" s="42" t="s">
        <v>10</v>
      </c>
      <c r="AN4" s="42"/>
      <c r="AP4" s="41" t="s">
        <v>23</v>
      </c>
      <c r="AQ4" s="41" t="s">
        <v>10</v>
      </c>
      <c r="AR4" s="41"/>
    </row>
    <row r="5" spans="1:44" x14ac:dyDescent="0.45">
      <c r="B5" s="5">
        <v>87</v>
      </c>
      <c r="C5" s="5">
        <v>3</v>
      </c>
      <c r="D5" s="5">
        <f t="shared" ref="D5:D12" si="0">B5*C5</f>
        <v>261</v>
      </c>
      <c r="F5" s="5">
        <v>87</v>
      </c>
      <c r="G5" s="5">
        <v>2</v>
      </c>
      <c r="H5" s="5">
        <f t="shared" ref="H5:H12" si="1">F5*G5</f>
        <v>174</v>
      </c>
      <c r="J5" s="5">
        <v>87</v>
      </c>
      <c r="K5" s="5">
        <v>3</v>
      </c>
      <c r="L5" s="5">
        <f t="shared" ref="L5:L12" si="2">J5*K5</f>
        <v>261</v>
      </c>
      <c r="N5" s="5">
        <v>87</v>
      </c>
      <c r="O5" s="5">
        <v>3</v>
      </c>
      <c r="P5" s="5">
        <f t="shared" ref="P5:P12" si="3">N5*O5</f>
        <v>261</v>
      </c>
      <c r="R5" s="5">
        <v>87</v>
      </c>
      <c r="S5" s="5">
        <v>2</v>
      </c>
      <c r="T5" s="5">
        <f t="shared" ref="T5:T12" si="4">R5*S5</f>
        <v>174</v>
      </c>
      <c r="Y5" s="40"/>
      <c r="Z5" s="40">
        <v>86.4</v>
      </c>
      <c r="AA5" s="40">
        <v>2</v>
      </c>
      <c r="AB5" s="40">
        <f t="shared" ref="AB5:AB16" si="5">Z5*AA5</f>
        <v>172.8</v>
      </c>
      <c r="AC5" s="40"/>
      <c r="AD5" s="40">
        <v>86.4</v>
      </c>
      <c r="AE5" s="40">
        <v>2</v>
      </c>
      <c r="AF5" s="40">
        <f t="shared" ref="AF5:AF16" si="6">AD5*AE5</f>
        <v>172.8</v>
      </c>
      <c r="AH5" s="40">
        <v>86.4</v>
      </c>
      <c r="AI5" s="40">
        <v>2</v>
      </c>
      <c r="AJ5" s="40">
        <f t="shared" ref="AJ5:AJ16" si="7">AH5*AI5</f>
        <v>172.8</v>
      </c>
      <c r="AK5" s="40"/>
      <c r="AL5" s="40">
        <v>86.4</v>
      </c>
      <c r="AM5" s="40">
        <v>3</v>
      </c>
      <c r="AN5" s="40">
        <f t="shared" ref="AN5:AN16" si="8">AL5*AM5</f>
        <v>259.20000000000005</v>
      </c>
      <c r="AP5" s="40">
        <v>86.4</v>
      </c>
      <c r="AQ5" s="40">
        <v>1</v>
      </c>
      <c r="AR5" s="40">
        <f t="shared" ref="AR5:AR16" si="9">AP5*AQ5</f>
        <v>86.4</v>
      </c>
    </row>
    <row r="6" spans="1:44" x14ac:dyDescent="0.45">
      <c r="B6" s="5">
        <v>87.1</v>
      </c>
      <c r="C6" s="5">
        <v>1</v>
      </c>
      <c r="D6" s="5">
        <f t="shared" si="0"/>
        <v>87.1</v>
      </c>
      <c r="F6" s="5">
        <v>87.1</v>
      </c>
      <c r="G6" s="5">
        <v>7</v>
      </c>
      <c r="H6" s="5">
        <f t="shared" si="1"/>
        <v>609.69999999999993</v>
      </c>
      <c r="J6" s="5">
        <v>87.1</v>
      </c>
      <c r="K6" s="5">
        <v>4</v>
      </c>
      <c r="L6" s="5">
        <f t="shared" si="2"/>
        <v>348.4</v>
      </c>
      <c r="N6" s="5">
        <v>87.1</v>
      </c>
      <c r="O6" s="5">
        <v>4</v>
      </c>
      <c r="P6" s="5">
        <f t="shared" si="3"/>
        <v>348.4</v>
      </c>
      <c r="R6" s="5">
        <v>87.1</v>
      </c>
      <c r="S6" s="5">
        <v>6</v>
      </c>
      <c r="T6" s="5">
        <f t="shared" si="4"/>
        <v>522.59999999999991</v>
      </c>
      <c r="Y6" s="40"/>
      <c r="Z6" s="40">
        <v>86.6</v>
      </c>
      <c r="AA6" s="40">
        <v>5</v>
      </c>
      <c r="AB6" s="40">
        <f t="shared" si="5"/>
        <v>433</v>
      </c>
      <c r="AC6" s="40"/>
      <c r="AD6" s="40">
        <v>86.6</v>
      </c>
      <c r="AE6" s="40">
        <v>0</v>
      </c>
      <c r="AF6" s="40">
        <f t="shared" si="6"/>
        <v>0</v>
      </c>
      <c r="AH6" s="40">
        <v>86.6</v>
      </c>
      <c r="AI6" s="40">
        <v>2</v>
      </c>
      <c r="AJ6" s="40">
        <f t="shared" si="7"/>
        <v>173.2</v>
      </c>
      <c r="AK6" s="40"/>
      <c r="AL6" s="40">
        <v>86.6</v>
      </c>
      <c r="AM6" s="40">
        <v>4</v>
      </c>
      <c r="AN6" s="40">
        <f t="shared" si="8"/>
        <v>346.4</v>
      </c>
      <c r="AP6" s="40">
        <v>86.6</v>
      </c>
      <c r="AQ6" s="40">
        <v>2</v>
      </c>
      <c r="AR6" s="40">
        <f t="shared" si="9"/>
        <v>173.2</v>
      </c>
    </row>
    <row r="7" spans="1:44" x14ac:dyDescent="0.45">
      <c r="B7" s="5">
        <v>87.4</v>
      </c>
      <c r="C7" s="5">
        <v>26</v>
      </c>
      <c r="D7" s="5">
        <f t="shared" si="0"/>
        <v>2272.4</v>
      </c>
      <c r="F7" s="5">
        <v>87.4</v>
      </c>
      <c r="G7" s="5">
        <v>16</v>
      </c>
      <c r="H7" s="5">
        <f t="shared" si="1"/>
        <v>1398.4</v>
      </c>
      <c r="J7" s="5">
        <v>87.4</v>
      </c>
      <c r="K7" s="5">
        <v>19</v>
      </c>
      <c r="L7" s="5">
        <f t="shared" si="2"/>
        <v>1660.6000000000001</v>
      </c>
      <c r="N7" s="5">
        <v>87.4</v>
      </c>
      <c r="O7" s="5">
        <v>21</v>
      </c>
      <c r="P7" s="5">
        <f t="shared" si="3"/>
        <v>1835.4</v>
      </c>
      <c r="R7" s="5">
        <v>87.4</v>
      </c>
      <c r="S7" s="5">
        <v>13</v>
      </c>
      <c r="T7" s="5">
        <f t="shared" si="4"/>
        <v>1136.2</v>
      </c>
      <c r="Y7" s="40"/>
      <c r="Z7" s="40">
        <v>86.8</v>
      </c>
      <c r="AA7" s="40">
        <v>4</v>
      </c>
      <c r="AB7" s="40">
        <f t="shared" si="5"/>
        <v>347.2</v>
      </c>
      <c r="AC7" s="40"/>
      <c r="AD7" s="40">
        <v>86.8</v>
      </c>
      <c r="AE7" s="40">
        <v>3</v>
      </c>
      <c r="AF7" s="40">
        <f t="shared" si="6"/>
        <v>260.39999999999998</v>
      </c>
      <c r="AH7" s="40">
        <v>86.8</v>
      </c>
      <c r="AI7" s="40">
        <v>4</v>
      </c>
      <c r="AJ7" s="40">
        <f t="shared" si="7"/>
        <v>347.2</v>
      </c>
      <c r="AK7" s="40"/>
      <c r="AL7" s="40">
        <v>86.8</v>
      </c>
      <c r="AM7" s="40">
        <v>2</v>
      </c>
      <c r="AN7" s="40">
        <f t="shared" si="8"/>
        <v>173.6</v>
      </c>
      <c r="AP7" s="40">
        <v>86.8</v>
      </c>
      <c r="AQ7" s="40">
        <v>3</v>
      </c>
      <c r="AR7" s="40">
        <f t="shared" si="9"/>
        <v>260.39999999999998</v>
      </c>
    </row>
    <row r="8" spans="1:44" x14ac:dyDescent="0.45">
      <c r="B8" s="5">
        <v>87.6</v>
      </c>
      <c r="C8" s="5">
        <v>50</v>
      </c>
      <c r="D8" s="5">
        <f t="shared" si="0"/>
        <v>4380</v>
      </c>
      <c r="F8" s="5">
        <v>87.6</v>
      </c>
      <c r="G8" s="5">
        <v>45</v>
      </c>
      <c r="H8" s="5">
        <f t="shared" si="1"/>
        <v>3941.9999999999995</v>
      </c>
      <c r="J8" s="5">
        <v>87.6</v>
      </c>
      <c r="K8" s="5">
        <v>53</v>
      </c>
      <c r="L8" s="5">
        <f t="shared" si="2"/>
        <v>4642.7999999999993</v>
      </c>
      <c r="N8" s="5">
        <v>87.6</v>
      </c>
      <c r="O8" s="5">
        <v>39</v>
      </c>
      <c r="P8" s="5">
        <f t="shared" si="3"/>
        <v>3416.3999999999996</v>
      </c>
      <c r="R8" s="5">
        <v>87.6</v>
      </c>
      <c r="S8" s="5">
        <v>39</v>
      </c>
      <c r="T8" s="5">
        <f t="shared" si="4"/>
        <v>3416.3999999999996</v>
      </c>
      <c r="Y8" s="40"/>
      <c r="Z8" s="40">
        <v>87</v>
      </c>
      <c r="AA8" s="40">
        <v>5</v>
      </c>
      <c r="AB8" s="40">
        <f t="shared" si="5"/>
        <v>435</v>
      </c>
      <c r="AC8" s="40"/>
      <c r="AD8" s="40">
        <v>87</v>
      </c>
      <c r="AE8" s="40">
        <v>2</v>
      </c>
      <c r="AF8" s="40">
        <f t="shared" si="6"/>
        <v>174</v>
      </c>
      <c r="AH8" s="40">
        <v>87</v>
      </c>
      <c r="AI8" s="40">
        <v>3</v>
      </c>
      <c r="AJ8" s="40">
        <f t="shared" si="7"/>
        <v>261</v>
      </c>
      <c r="AK8" s="40"/>
      <c r="AL8" s="40">
        <v>87</v>
      </c>
      <c r="AM8" s="40">
        <v>9</v>
      </c>
      <c r="AN8" s="40">
        <f t="shared" si="8"/>
        <v>783</v>
      </c>
      <c r="AP8" s="40">
        <v>87</v>
      </c>
      <c r="AQ8" s="40">
        <v>5</v>
      </c>
      <c r="AR8" s="40">
        <f t="shared" si="9"/>
        <v>435</v>
      </c>
    </row>
    <row r="9" spans="1:44" x14ac:dyDescent="0.45">
      <c r="B9" s="5">
        <v>87.8</v>
      </c>
      <c r="C9" s="5">
        <v>33</v>
      </c>
      <c r="D9" s="5">
        <f t="shared" si="0"/>
        <v>2897.4</v>
      </c>
      <c r="F9" s="5">
        <v>87.8</v>
      </c>
      <c r="G9" s="5">
        <v>33</v>
      </c>
      <c r="H9" s="5">
        <f t="shared" si="1"/>
        <v>2897.4</v>
      </c>
      <c r="J9" s="5">
        <v>87.8</v>
      </c>
      <c r="K9" s="5">
        <v>40</v>
      </c>
      <c r="L9" s="5">
        <f t="shared" si="2"/>
        <v>3512</v>
      </c>
      <c r="N9" s="5">
        <v>87.8</v>
      </c>
      <c r="O9" s="5">
        <v>40</v>
      </c>
      <c r="P9" s="5">
        <f t="shared" si="3"/>
        <v>3512</v>
      </c>
      <c r="R9" s="5">
        <v>87.8</v>
      </c>
      <c r="S9" s="5">
        <v>37</v>
      </c>
      <c r="T9" s="5">
        <f t="shared" si="4"/>
        <v>3248.6</v>
      </c>
      <c r="Y9" s="40"/>
      <c r="Z9" s="40">
        <v>87.1</v>
      </c>
      <c r="AA9" s="40">
        <v>8</v>
      </c>
      <c r="AB9" s="40">
        <f t="shared" si="5"/>
        <v>696.8</v>
      </c>
      <c r="AC9" s="40"/>
      <c r="AD9" s="40">
        <v>87.1</v>
      </c>
      <c r="AE9" s="40">
        <v>14</v>
      </c>
      <c r="AF9" s="40">
        <f t="shared" si="6"/>
        <v>1219.3999999999999</v>
      </c>
      <c r="AH9" s="40">
        <v>87.1</v>
      </c>
      <c r="AI9" s="40">
        <v>8</v>
      </c>
      <c r="AJ9" s="40">
        <f t="shared" si="7"/>
        <v>696.8</v>
      </c>
      <c r="AK9" s="40"/>
      <c r="AL9" s="40">
        <v>87.1</v>
      </c>
      <c r="AM9" s="40">
        <v>7</v>
      </c>
      <c r="AN9" s="40">
        <f t="shared" si="8"/>
        <v>609.69999999999993</v>
      </c>
      <c r="AP9" s="40">
        <v>87.1</v>
      </c>
      <c r="AQ9" s="40">
        <v>7</v>
      </c>
      <c r="AR9" s="40">
        <f t="shared" si="9"/>
        <v>609.69999999999993</v>
      </c>
    </row>
    <row r="10" spans="1:44" x14ac:dyDescent="0.45">
      <c r="B10" s="5">
        <v>88</v>
      </c>
      <c r="C10" s="5">
        <v>10</v>
      </c>
      <c r="D10" s="5">
        <f t="shared" si="0"/>
        <v>880</v>
      </c>
      <c r="F10" s="5">
        <v>88</v>
      </c>
      <c r="G10" s="5">
        <v>6</v>
      </c>
      <c r="H10" s="5">
        <f t="shared" si="1"/>
        <v>528</v>
      </c>
      <c r="J10" s="5">
        <v>88</v>
      </c>
      <c r="K10" s="5">
        <v>10</v>
      </c>
      <c r="L10" s="5">
        <f t="shared" si="2"/>
        <v>880</v>
      </c>
      <c r="N10" s="5">
        <v>88</v>
      </c>
      <c r="O10" s="5">
        <v>8</v>
      </c>
      <c r="P10" s="5">
        <f t="shared" si="3"/>
        <v>704</v>
      </c>
      <c r="R10" s="5">
        <v>88</v>
      </c>
      <c r="S10" s="5">
        <v>10</v>
      </c>
      <c r="T10" s="5">
        <f t="shared" si="4"/>
        <v>880</v>
      </c>
      <c r="Y10" s="40"/>
      <c r="Z10" s="40">
        <v>87.4</v>
      </c>
      <c r="AA10" s="40">
        <v>35</v>
      </c>
      <c r="AB10" s="40">
        <f t="shared" si="5"/>
        <v>3059</v>
      </c>
      <c r="AC10" s="40"/>
      <c r="AD10" s="40">
        <v>87.4</v>
      </c>
      <c r="AE10" s="40">
        <v>22</v>
      </c>
      <c r="AF10" s="40">
        <f t="shared" si="6"/>
        <v>1922.8000000000002</v>
      </c>
      <c r="AH10" s="40">
        <v>87.4</v>
      </c>
      <c r="AI10" s="40">
        <v>25</v>
      </c>
      <c r="AJ10" s="40">
        <f t="shared" si="7"/>
        <v>2185</v>
      </c>
      <c r="AK10" s="40"/>
      <c r="AL10" s="40">
        <v>87.4</v>
      </c>
      <c r="AM10" s="40">
        <v>33</v>
      </c>
      <c r="AN10" s="40">
        <f t="shared" si="8"/>
        <v>2884.2000000000003</v>
      </c>
      <c r="AP10" s="40">
        <v>87.4</v>
      </c>
      <c r="AQ10" s="40">
        <v>40</v>
      </c>
      <c r="AR10" s="40">
        <f t="shared" si="9"/>
        <v>3496</v>
      </c>
    </row>
    <row r="11" spans="1:44" x14ac:dyDescent="0.45">
      <c r="B11" s="5">
        <v>88.1</v>
      </c>
      <c r="C11" s="5">
        <v>4</v>
      </c>
      <c r="D11" s="5">
        <f t="shared" si="0"/>
        <v>352.4</v>
      </c>
      <c r="F11" s="5">
        <v>88.1</v>
      </c>
      <c r="G11" s="5">
        <v>3</v>
      </c>
      <c r="H11" s="5">
        <f t="shared" si="1"/>
        <v>264.29999999999995</v>
      </c>
      <c r="J11" s="5">
        <v>88.1</v>
      </c>
      <c r="K11" s="5">
        <v>2</v>
      </c>
      <c r="L11" s="5">
        <f t="shared" si="2"/>
        <v>176.2</v>
      </c>
      <c r="N11" s="5">
        <v>88.1</v>
      </c>
      <c r="O11" s="5">
        <v>5</v>
      </c>
      <c r="P11" s="5">
        <f t="shared" si="3"/>
        <v>440.5</v>
      </c>
      <c r="R11" s="5">
        <v>88.1</v>
      </c>
      <c r="S11" s="5">
        <v>6</v>
      </c>
      <c r="T11" s="5">
        <f t="shared" si="4"/>
        <v>528.59999999999991</v>
      </c>
      <c r="Y11" s="40"/>
      <c r="Z11" s="40">
        <v>87.6</v>
      </c>
      <c r="AA11" s="40">
        <v>44</v>
      </c>
      <c r="AB11" s="40">
        <f t="shared" si="5"/>
        <v>3854.3999999999996</v>
      </c>
      <c r="AC11" s="40"/>
      <c r="AD11" s="40">
        <v>87.6</v>
      </c>
      <c r="AE11" s="40">
        <v>44</v>
      </c>
      <c r="AF11" s="40">
        <f t="shared" si="6"/>
        <v>3854.3999999999996</v>
      </c>
      <c r="AH11" s="40">
        <v>87.6</v>
      </c>
      <c r="AI11" s="40">
        <v>40</v>
      </c>
      <c r="AJ11" s="40">
        <f t="shared" si="7"/>
        <v>3504</v>
      </c>
      <c r="AK11" s="40"/>
      <c r="AL11" s="40">
        <v>87.6</v>
      </c>
      <c r="AM11" s="40">
        <v>50</v>
      </c>
      <c r="AN11" s="40">
        <f t="shared" si="8"/>
        <v>4380</v>
      </c>
      <c r="AP11" s="40">
        <v>87.6</v>
      </c>
      <c r="AQ11" s="40">
        <v>47</v>
      </c>
      <c r="AR11" s="40">
        <f t="shared" si="9"/>
        <v>4117.2</v>
      </c>
    </row>
    <row r="12" spans="1:44" x14ac:dyDescent="0.45">
      <c r="B12" s="5">
        <v>88.4</v>
      </c>
      <c r="C12" s="5">
        <v>1</v>
      </c>
      <c r="D12" s="5">
        <f t="shared" si="0"/>
        <v>88.4</v>
      </c>
      <c r="F12" s="5">
        <v>88.4</v>
      </c>
      <c r="G12" s="5">
        <v>3</v>
      </c>
      <c r="H12" s="5">
        <f t="shared" si="1"/>
        <v>265.20000000000005</v>
      </c>
      <c r="J12" s="5">
        <v>88.4</v>
      </c>
      <c r="K12" s="5">
        <v>4</v>
      </c>
      <c r="L12" s="5">
        <f t="shared" si="2"/>
        <v>353.6</v>
      </c>
      <c r="N12" s="5">
        <v>88.4</v>
      </c>
      <c r="O12" s="5">
        <v>1</v>
      </c>
      <c r="P12" s="5">
        <f t="shared" si="3"/>
        <v>88.4</v>
      </c>
      <c r="R12" s="5">
        <v>88.4</v>
      </c>
      <c r="S12" s="5">
        <v>0</v>
      </c>
      <c r="T12" s="5">
        <f t="shared" si="4"/>
        <v>0</v>
      </c>
      <c r="Y12" s="40"/>
      <c r="Z12" s="40">
        <v>87.8</v>
      </c>
      <c r="AA12" s="40">
        <v>17</v>
      </c>
      <c r="AB12" s="40">
        <f t="shared" si="5"/>
        <v>1492.6</v>
      </c>
      <c r="AC12" s="40"/>
      <c r="AD12" s="40">
        <v>87.8</v>
      </c>
      <c r="AE12" s="40">
        <v>15</v>
      </c>
      <c r="AF12" s="40">
        <f t="shared" si="6"/>
        <v>1317</v>
      </c>
      <c r="AH12" s="40">
        <v>87.8</v>
      </c>
      <c r="AI12" s="40">
        <v>15</v>
      </c>
      <c r="AJ12" s="40">
        <f t="shared" si="7"/>
        <v>1317</v>
      </c>
      <c r="AK12" s="40"/>
      <c r="AL12" s="40">
        <v>87.8</v>
      </c>
      <c r="AM12" s="40">
        <v>12</v>
      </c>
      <c r="AN12" s="40">
        <f t="shared" si="8"/>
        <v>1053.5999999999999</v>
      </c>
      <c r="AP12" s="40">
        <v>87.8</v>
      </c>
      <c r="AQ12" s="40">
        <v>17</v>
      </c>
      <c r="AR12" s="40">
        <f t="shared" si="9"/>
        <v>1492.6</v>
      </c>
    </row>
    <row r="13" spans="1:44" x14ac:dyDescent="0.45">
      <c r="C13" s="5">
        <f>SUM(C5:C12)</f>
        <v>128</v>
      </c>
      <c r="D13" s="5">
        <f>SUM(D5:D12)</f>
        <v>11218.699999999999</v>
      </c>
      <c r="G13" s="5">
        <f>SUM(G5:G12)</f>
        <v>115</v>
      </c>
      <c r="H13" s="5">
        <f>SUM(H5:H12)</f>
        <v>10079</v>
      </c>
      <c r="K13" s="5">
        <f>SUM(K5:K12)</f>
        <v>135</v>
      </c>
      <c r="L13" s="5">
        <f>SUM(L5:L12)</f>
        <v>11834.6</v>
      </c>
      <c r="O13" s="5">
        <f>SUM(O5:O12)</f>
        <v>121</v>
      </c>
      <c r="P13" s="5">
        <f>SUM(P5:P12)</f>
        <v>10606.1</v>
      </c>
      <c r="S13" s="5">
        <f>SUM(S5:S12)</f>
        <v>113</v>
      </c>
      <c r="T13" s="5">
        <f>SUM(T5:T12)</f>
        <v>9906.4</v>
      </c>
      <c r="Y13" s="40"/>
      <c r="Z13" s="40">
        <v>88</v>
      </c>
      <c r="AA13" s="40">
        <v>5</v>
      </c>
      <c r="AB13" s="40">
        <f t="shared" si="5"/>
        <v>440</v>
      </c>
      <c r="AC13" s="40"/>
      <c r="AD13" s="40">
        <v>88</v>
      </c>
      <c r="AE13" s="40">
        <v>6</v>
      </c>
      <c r="AF13" s="40">
        <f t="shared" si="6"/>
        <v>528</v>
      </c>
      <c r="AH13" s="40">
        <v>88</v>
      </c>
      <c r="AI13" s="40">
        <v>3</v>
      </c>
      <c r="AJ13" s="40">
        <f t="shared" si="7"/>
        <v>264</v>
      </c>
      <c r="AK13" s="40"/>
      <c r="AL13" s="40">
        <v>88</v>
      </c>
      <c r="AM13" s="40">
        <v>5</v>
      </c>
      <c r="AN13" s="40">
        <f t="shared" si="8"/>
        <v>440</v>
      </c>
      <c r="AP13" s="40">
        <v>88</v>
      </c>
      <c r="AQ13" s="40">
        <v>4</v>
      </c>
      <c r="AR13" s="40">
        <f t="shared" si="9"/>
        <v>352</v>
      </c>
    </row>
    <row r="14" spans="1:44" x14ac:dyDescent="0.45">
      <c r="A14" s="8" t="s">
        <v>11</v>
      </c>
      <c r="D14" s="5">
        <f>D13/C13</f>
        <v>87.646093749999991</v>
      </c>
      <c r="H14" s="5">
        <f>H13/G13</f>
        <v>87.643478260869571</v>
      </c>
      <c r="L14" s="5">
        <f>L13/K13</f>
        <v>87.663703703703703</v>
      </c>
      <c r="P14" s="5">
        <f>P13/O13</f>
        <v>87.65371900826446</v>
      </c>
      <c r="T14" s="5">
        <f>T13/S13</f>
        <v>87.667256637168137</v>
      </c>
      <c r="Y14" s="40"/>
      <c r="Z14" s="40">
        <v>88.1</v>
      </c>
      <c r="AA14" s="40">
        <v>1</v>
      </c>
      <c r="AB14" s="40">
        <f t="shared" si="5"/>
        <v>88.1</v>
      </c>
      <c r="AC14" s="40"/>
      <c r="AD14" s="40">
        <v>88.1</v>
      </c>
      <c r="AE14" s="40">
        <v>3</v>
      </c>
      <c r="AF14" s="40">
        <f t="shared" si="6"/>
        <v>264.29999999999995</v>
      </c>
      <c r="AH14" s="40">
        <v>88.1</v>
      </c>
      <c r="AI14" s="40">
        <v>0</v>
      </c>
      <c r="AJ14" s="40">
        <f t="shared" si="7"/>
        <v>0</v>
      </c>
      <c r="AK14" s="40"/>
      <c r="AL14" s="40">
        <v>88.1</v>
      </c>
      <c r="AM14" s="40">
        <v>2</v>
      </c>
      <c r="AN14" s="40">
        <f t="shared" si="8"/>
        <v>176.2</v>
      </c>
      <c r="AP14" s="40">
        <v>88.1</v>
      </c>
      <c r="AQ14" s="40">
        <v>3</v>
      </c>
      <c r="AR14" s="40">
        <f t="shared" si="9"/>
        <v>264.29999999999995</v>
      </c>
    </row>
    <row r="15" spans="1:44" x14ac:dyDescent="0.45">
      <c r="A15" s="8" t="s">
        <v>12</v>
      </c>
      <c r="D15" s="5">
        <f>RADIANS(D14/2)</f>
        <v>0.76485645622456189</v>
      </c>
      <c r="H15" s="5">
        <f>RADIANS(H14/2)</f>
        <v>0.76483363177612385</v>
      </c>
      <c r="L15" s="5">
        <f>RADIANS(L14/2)</f>
        <v>0.76501013206118862</v>
      </c>
      <c r="P15" s="5">
        <f>RADIANS(P14/2)</f>
        <v>0.76492299915607675</v>
      </c>
      <c r="T15" s="5">
        <f>RADIANS(T14/2)</f>
        <v>0.7650411372547179</v>
      </c>
      <c r="Y15" s="40"/>
      <c r="Z15" s="40">
        <v>88.4</v>
      </c>
      <c r="AA15" s="40">
        <v>3</v>
      </c>
      <c r="AB15" s="40">
        <f t="shared" si="5"/>
        <v>265.20000000000005</v>
      </c>
      <c r="AC15" s="40"/>
      <c r="AD15" s="40">
        <v>88.4</v>
      </c>
      <c r="AE15" s="40">
        <v>7</v>
      </c>
      <c r="AF15" s="40">
        <f t="shared" si="6"/>
        <v>618.80000000000007</v>
      </c>
      <c r="AH15" s="40">
        <v>88.4</v>
      </c>
      <c r="AI15" s="40">
        <v>3</v>
      </c>
      <c r="AJ15" s="40">
        <f t="shared" si="7"/>
        <v>265.20000000000005</v>
      </c>
      <c r="AK15" s="40"/>
      <c r="AL15" s="40">
        <v>88.4</v>
      </c>
      <c r="AM15" s="40">
        <v>2</v>
      </c>
      <c r="AN15" s="40">
        <f t="shared" si="8"/>
        <v>176.8</v>
      </c>
      <c r="AP15" s="40">
        <v>88.4</v>
      </c>
      <c r="AQ15" s="40">
        <v>2</v>
      </c>
      <c r="AR15" s="40">
        <f t="shared" si="9"/>
        <v>176.8</v>
      </c>
    </row>
    <row r="16" spans="1:44" x14ac:dyDescent="0.45">
      <c r="Y16" s="40"/>
      <c r="Z16" s="40">
        <v>88.6</v>
      </c>
      <c r="AA16" s="40">
        <v>0</v>
      </c>
      <c r="AB16" s="40">
        <f t="shared" si="5"/>
        <v>0</v>
      </c>
      <c r="AC16" s="40"/>
      <c r="AD16" s="40">
        <v>88.6</v>
      </c>
      <c r="AE16" s="40">
        <v>8</v>
      </c>
      <c r="AF16" s="40">
        <f t="shared" si="6"/>
        <v>708.8</v>
      </c>
      <c r="AH16" s="40">
        <v>88.6</v>
      </c>
      <c r="AI16" s="40">
        <v>3</v>
      </c>
      <c r="AJ16" s="40">
        <f t="shared" si="7"/>
        <v>265.79999999999995</v>
      </c>
      <c r="AK16" s="40"/>
      <c r="AL16" s="40">
        <v>88.6</v>
      </c>
      <c r="AM16" s="40">
        <v>3</v>
      </c>
      <c r="AN16" s="40">
        <f t="shared" si="8"/>
        <v>265.79999999999995</v>
      </c>
      <c r="AP16" s="40">
        <v>88.6</v>
      </c>
      <c r="AQ16" s="40">
        <v>1</v>
      </c>
      <c r="AR16" s="40">
        <f t="shared" si="9"/>
        <v>88.6</v>
      </c>
    </row>
    <row r="17" spans="1:44" x14ac:dyDescent="0.45">
      <c r="AA17" s="43">
        <f>SUM(AA5:AA16)</f>
        <v>129</v>
      </c>
      <c r="AB17" s="43">
        <f>SUM(AB5:AB16)</f>
        <v>11284.100000000002</v>
      </c>
      <c r="AE17" s="43">
        <f>SUM(AE5:AE16)</f>
        <v>126</v>
      </c>
      <c r="AF17" s="43">
        <f>SUM(AF5:AF16)</f>
        <v>11040.699999999997</v>
      </c>
      <c r="AI17" s="43">
        <f>SUM(AI5:AI16)</f>
        <v>108</v>
      </c>
      <c r="AJ17" s="43">
        <f>SUM(AJ5:AJ16)</f>
        <v>9452</v>
      </c>
      <c r="AM17" s="43">
        <f>SUM(AM5:AM16)</f>
        <v>132</v>
      </c>
      <c r="AN17" s="43">
        <f>SUM(AN5:AN16)</f>
        <v>11548.5</v>
      </c>
      <c r="AQ17" s="43">
        <f>SUM(AQ5:AQ16)</f>
        <v>132</v>
      </c>
      <c r="AR17" s="43">
        <f>SUM(AR5:AR16)</f>
        <v>11552.199999999999</v>
      </c>
    </row>
    <row r="18" spans="1:44" x14ac:dyDescent="0.45">
      <c r="A18" s="8" t="s">
        <v>13</v>
      </c>
      <c r="C18" s="5">
        <f>SUM(D15+H15+L15+P15+T15)/5</f>
        <v>0.7649328712945338</v>
      </c>
      <c r="F18" s="8" t="s">
        <v>14</v>
      </c>
      <c r="G18" s="5">
        <f>1.3922*0.0000000001</f>
        <v>1.3922000000000001E-10</v>
      </c>
      <c r="Y18" s="44" t="s">
        <v>11</v>
      </c>
      <c r="AB18" s="43">
        <f>AB17/AA17</f>
        <v>87.473643410852731</v>
      </c>
      <c r="AF18" s="43">
        <f>AF17/AE17</f>
        <v>87.624603174603152</v>
      </c>
      <c r="AJ18" s="43">
        <f>AJ17/AI17</f>
        <v>87.518518518518519</v>
      </c>
      <c r="AN18" s="43">
        <f>AN17/AM17</f>
        <v>87.48863636363636</v>
      </c>
      <c r="AR18" s="43">
        <f>AR17/AQ17</f>
        <v>87.516666666666652</v>
      </c>
    </row>
    <row r="19" spans="1:44" x14ac:dyDescent="0.45">
      <c r="Y19" s="44" t="s">
        <v>12</v>
      </c>
      <c r="AB19" s="43">
        <f>RADIANS(AB18/2)</f>
        <v>0.7633515431174116</v>
      </c>
      <c r="AF19" s="43">
        <f>RADIANS(AF18/2)</f>
        <v>0.76466891557515038</v>
      </c>
      <c r="AJ19" s="43">
        <f>RADIANS(AJ18/2)</f>
        <v>0.76374315230788903</v>
      </c>
      <c r="AN19" s="43">
        <f>RADIANS(AN18/2)</f>
        <v>0.76348238131274671</v>
      </c>
      <c r="AR19" s="43">
        <f>RADIANS(AR18/2)</f>
        <v>0.76372699185185189</v>
      </c>
    </row>
    <row r="20" spans="1:44" x14ac:dyDescent="0.45">
      <c r="A20" s="8" t="s">
        <v>15</v>
      </c>
      <c r="C20" s="5">
        <f>(2*G18)/(2*SIN(C18))</f>
        <v>2.0104302904312565E-10</v>
      </c>
    </row>
    <row r="21" spans="1:44" x14ac:dyDescent="0.45">
      <c r="A21" s="8" t="s">
        <v>16</v>
      </c>
    </row>
    <row r="22" spans="1:44" x14ac:dyDescent="0.45">
      <c r="J22" t="s">
        <v>28</v>
      </c>
      <c r="L22">
        <f>STDEV(D14,H14,L14,P14,T14,AB18,AF18,AJ18,AN18,AR18)</f>
        <v>7.9557258753171267E-2</v>
      </c>
      <c r="Y22" s="44" t="s">
        <v>13</v>
      </c>
      <c r="AA22" s="43">
        <f>SUM(AB19+AF19+AJ19+AN19+AR19)/5</f>
        <v>0.76379459683300976</v>
      </c>
      <c r="AD22" s="44" t="s">
        <v>14</v>
      </c>
      <c r="AE22" s="43">
        <v>1.3922000000000001E-10</v>
      </c>
    </row>
    <row r="23" spans="1:44" x14ac:dyDescent="0.45">
      <c r="J23" t="s">
        <v>29</v>
      </c>
      <c r="L23">
        <f>AVERAGE(D14,H14,L14,P14,T14,AB18,AF18,AJ18,AN18,AR18)</f>
        <v>87.589631949428323</v>
      </c>
    </row>
    <row r="24" spans="1:44" x14ac:dyDescent="0.45">
      <c r="J24" t="s">
        <v>30</v>
      </c>
      <c r="L24">
        <f>L22/L23</f>
        <v>9.08295388192809E-4</v>
      </c>
      <c r="Y24" s="44" t="s">
        <v>15</v>
      </c>
      <c r="AA24" s="43">
        <f>(2*AE22)/(2*SIN(AA22))</f>
        <v>2.0128184843913862E-10</v>
      </c>
    </row>
    <row r="25" spans="1:44" x14ac:dyDescent="0.45">
      <c r="Y25" s="44" t="s">
        <v>16</v>
      </c>
    </row>
  </sheetData>
  <mergeCells count="11">
    <mergeCell ref="Z2:AB2"/>
    <mergeCell ref="AD2:AE2"/>
    <mergeCell ref="AH2:AI2"/>
    <mergeCell ref="AL2:AM2"/>
    <mergeCell ref="AP2:AQ2"/>
    <mergeCell ref="F2:G2"/>
    <mergeCell ref="J2:K2"/>
    <mergeCell ref="N2:O2"/>
    <mergeCell ref="R2:S2"/>
    <mergeCell ref="B1:S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7"/>
  <sheetViews>
    <sheetView workbookViewId="0">
      <pane ySplit="4" topLeftCell="A14" activePane="bottomLeft" state="frozen"/>
      <selection pane="bottomLeft" activeCell="F25" sqref="F25:F27"/>
    </sheetView>
  </sheetViews>
  <sheetFormatPr defaultRowHeight="14.25" x14ac:dyDescent="0.45"/>
  <cols>
    <col min="1" max="1" width="30" customWidth="1"/>
    <col min="2" max="3" width="16" customWidth="1"/>
    <col min="4" max="4" width="20" customWidth="1"/>
    <col min="5" max="5" width="2" customWidth="1"/>
    <col min="6" max="7" width="16" customWidth="1"/>
    <col min="8" max="8" width="20" customWidth="1"/>
    <col min="9" max="9" width="2" customWidth="1"/>
    <col min="10" max="11" width="16" customWidth="1"/>
    <col min="12" max="12" width="20" customWidth="1"/>
    <col min="13" max="13" width="2" customWidth="1"/>
    <col min="14" max="15" width="16" customWidth="1"/>
    <col min="16" max="16" width="20" customWidth="1"/>
    <col min="17" max="17" width="2" customWidth="1"/>
    <col min="18" max="19" width="16" customWidth="1"/>
    <col min="20" max="20" width="20" customWidth="1"/>
  </cols>
  <sheetData>
    <row r="1" spans="1:44" ht="30" customHeight="1" x14ac:dyDescent="0.45">
      <c r="B1" s="16" t="s">
        <v>22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44" ht="40.049999999999997" customHeight="1" x14ac:dyDescent="0.45">
      <c r="B2" s="15" t="s">
        <v>1</v>
      </c>
      <c r="C2" s="14"/>
      <c r="D2" s="14"/>
      <c r="F2" s="15" t="s">
        <v>2</v>
      </c>
      <c r="G2" s="14"/>
      <c r="J2" s="15" t="s">
        <v>3</v>
      </c>
      <c r="K2" s="14"/>
      <c r="N2" s="15" t="s">
        <v>4</v>
      </c>
      <c r="O2" s="14"/>
      <c r="R2" s="15" t="s">
        <v>5</v>
      </c>
      <c r="S2" s="14"/>
      <c r="Y2" s="32"/>
      <c r="Z2" s="33" t="s">
        <v>1</v>
      </c>
      <c r="AA2" s="18"/>
      <c r="AB2" s="19"/>
      <c r="AD2" s="33" t="s">
        <v>2</v>
      </c>
      <c r="AE2" s="19"/>
      <c r="AH2" s="34" t="s">
        <v>3</v>
      </c>
      <c r="AI2" s="10"/>
      <c r="AK2" s="32"/>
      <c r="AL2" s="35" t="s">
        <v>4</v>
      </c>
      <c r="AM2" s="14"/>
      <c r="AP2" s="35" t="s">
        <v>5</v>
      </c>
      <c r="AQ2" s="14"/>
    </row>
    <row r="3" spans="1:44" ht="30" customHeight="1" x14ac:dyDescent="0.45">
      <c r="B3" s="6" t="s">
        <v>6</v>
      </c>
      <c r="C3" s="6" t="s">
        <v>7</v>
      </c>
      <c r="D3" s="6" t="s">
        <v>8</v>
      </c>
      <c r="F3" s="7" t="s">
        <v>6</v>
      </c>
      <c r="G3" s="7" t="s">
        <v>7</v>
      </c>
      <c r="H3" s="7" t="s">
        <v>8</v>
      </c>
      <c r="J3" s="6" t="s">
        <v>6</v>
      </c>
      <c r="K3" s="6" t="s">
        <v>7</v>
      </c>
      <c r="L3" s="6" t="s">
        <v>8</v>
      </c>
      <c r="N3" s="7" t="s">
        <v>6</v>
      </c>
      <c r="O3" s="7" t="s">
        <v>7</v>
      </c>
      <c r="P3" s="7" t="s">
        <v>8</v>
      </c>
      <c r="R3" s="6" t="s">
        <v>6</v>
      </c>
      <c r="S3" s="6" t="s">
        <v>7</v>
      </c>
      <c r="T3" s="6" t="s">
        <v>8</v>
      </c>
      <c r="V3" s="45" t="s">
        <v>25</v>
      </c>
      <c r="W3" s="45" t="s">
        <v>26</v>
      </c>
      <c r="Y3" s="36"/>
      <c r="Z3" s="37" t="s">
        <v>6</v>
      </c>
      <c r="AA3" s="37" t="s">
        <v>7</v>
      </c>
      <c r="AB3" s="37" t="s">
        <v>8</v>
      </c>
      <c r="AC3" s="38"/>
      <c r="AD3" s="39" t="s">
        <v>6</v>
      </c>
      <c r="AE3" s="39" t="s">
        <v>7</v>
      </c>
      <c r="AF3" s="39" t="s">
        <v>8</v>
      </c>
      <c r="AH3" s="37" t="s">
        <v>6</v>
      </c>
      <c r="AI3" s="37" t="s">
        <v>7</v>
      </c>
      <c r="AJ3" s="37" t="s">
        <v>8</v>
      </c>
      <c r="AK3" s="36"/>
      <c r="AL3" s="39" t="s">
        <v>6</v>
      </c>
      <c r="AM3" s="39" t="s">
        <v>7</v>
      </c>
      <c r="AN3" s="39" t="s">
        <v>8</v>
      </c>
      <c r="AP3" s="37" t="s">
        <v>6</v>
      </c>
      <c r="AQ3" s="37" t="s">
        <v>7</v>
      </c>
      <c r="AR3" s="37" t="s">
        <v>8</v>
      </c>
    </row>
    <row r="4" spans="1:44" ht="26.25" x14ac:dyDescent="0.45">
      <c r="B4" s="5" t="s">
        <v>19</v>
      </c>
      <c r="C4" s="5" t="s">
        <v>10</v>
      </c>
      <c r="D4" s="5" t="s">
        <v>20</v>
      </c>
      <c r="F4" s="5" t="s">
        <v>19</v>
      </c>
      <c r="G4" s="5" t="s">
        <v>10</v>
      </c>
      <c r="H4" s="5" t="s">
        <v>20</v>
      </c>
      <c r="J4" s="5" t="s">
        <v>19</v>
      </c>
      <c r="K4" s="5" t="s">
        <v>10</v>
      </c>
      <c r="L4" s="5" t="s">
        <v>20</v>
      </c>
      <c r="N4" s="5" t="s">
        <v>19</v>
      </c>
      <c r="O4" s="5" t="s">
        <v>10</v>
      </c>
      <c r="P4" s="5" t="s">
        <v>20</v>
      </c>
      <c r="R4" s="5" t="s">
        <v>19</v>
      </c>
      <c r="S4" s="5" t="s">
        <v>10</v>
      </c>
      <c r="T4" s="5" t="s">
        <v>20</v>
      </c>
      <c r="Y4" s="40"/>
      <c r="Z4" s="41" t="s">
        <v>23</v>
      </c>
      <c r="AA4" s="41" t="s">
        <v>10</v>
      </c>
      <c r="AB4" s="41"/>
      <c r="AC4" s="40"/>
      <c r="AD4" s="42" t="s">
        <v>23</v>
      </c>
      <c r="AE4" s="42" t="s">
        <v>10</v>
      </c>
      <c r="AF4" s="42"/>
      <c r="AH4" s="41" t="s">
        <v>23</v>
      </c>
      <c r="AI4" s="41" t="s">
        <v>10</v>
      </c>
      <c r="AJ4" s="41"/>
      <c r="AK4" s="40"/>
      <c r="AL4" s="42" t="s">
        <v>23</v>
      </c>
      <c r="AM4" s="42" t="s">
        <v>10</v>
      </c>
      <c r="AN4" s="42"/>
      <c r="AP4" s="41" t="s">
        <v>23</v>
      </c>
      <c r="AQ4" s="41" t="s">
        <v>10</v>
      </c>
      <c r="AR4" s="41"/>
    </row>
    <row r="5" spans="1:44" x14ac:dyDescent="0.45">
      <c r="B5" s="5">
        <v>99</v>
      </c>
      <c r="C5" s="5">
        <v>2</v>
      </c>
      <c r="D5" s="5">
        <f t="shared" ref="D5:D14" si="0">B5*C5</f>
        <v>198</v>
      </c>
      <c r="F5" s="5">
        <v>99</v>
      </c>
      <c r="G5" s="5">
        <v>3</v>
      </c>
      <c r="H5" s="5">
        <f t="shared" ref="H5:H14" si="1">F5*G5</f>
        <v>297</v>
      </c>
      <c r="J5" s="5">
        <v>99</v>
      </c>
      <c r="K5" s="5">
        <v>3</v>
      </c>
      <c r="L5" s="5">
        <f t="shared" ref="L5:L14" si="2">J5*K5</f>
        <v>297</v>
      </c>
      <c r="N5" s="5">
        <v>99</v>
      </c>
      <c r="O5" s="5">
        <v>3</v>
      </c>
      <c r="P5" s="5">
        <f t="shared" ref="P5:P14" si="3">N5*O5</f>
        <v>297</v>
      </c>
      <c r="R5" s="5">
        <v>99</v>
      </c>
      <c r="S5" s="5">
        <v>4</v>
      </c>
      <c r="T5" s="5">
        <f t="shared" ref="T5:T14" si="4">R5*S5</f>
        <v>396</v>
      </c>
      <c r="V5">
        <f>AVERAGE(S5,O5,K5,G5,C5)</f>
        <v>3</v>
      </c>
      <c r="W5">
        <f>V5*R5</f>
        <v>297</v>
      </c>
      <c r="Y5" s="40"/>
      <c r="Z5" s="40">
        <v>98.8</v>
      </c>
      <c r="AA5" s="40">
        <v>1</v>
      </c>
      <c r="AB5" s="40">
        <f t="shared" ref="AB5:AB15" si="5">Z5*AA5</f>
        <v>98.8</v>
      </c>
      <c r="AC5" s="40"/>
      <c r="AD5" s="40">
        <v>98.8</v>
      </c>
      <c r="AE5" s="40">
        <v>5</v>
      </c>
      <c r="AF5" s="40">
        <f t="shared" ref="AF5:AF15" si="6">AD5*AE5</f>
        <v>494</v>
      </c>
      <c r="AH5" s="40">
        <v>98.8</v>
      </c>
      <c r="AI5" s="40">
        <v>3</v>
      </c>
      <c r="AJ5" s="40">
        <f t="shared" ref="AJ5:AJ15" si="7">AH5*AI5</f>
        <v>296.39999999999998</v>
      </c>
      <c r="AK5" s="40"/>
      <c r="AL5" s="40">
        <v>98.8</v>
      </c>
      <c r="AM5" s="40">
        <v>2</v>
      </c>
      <c r="AN5" s="40">
        <f t="shared" ref="AN5:AN15" si="8">AL5*AM5</f>
        <v>197.6</v>
      </c>
      <c r="AP5" s="40">
        <v>98.8</v>
      </c>
      <c r="AQ5" s="40">
        <v>3</v>
      </c>
      <c r="AR5" s="40">
        <f t="shared" ref="AR5:AR15" si="9">AP5*AQ5</f>
        <v>296.39999999999998</v>
      </c>
    </row>
    <row r="6" spans="1:44" x14ac:dyDescent="0.45">
      <c r="B6" s="5">
        <v>99.1</v>
      </c>
      <c r="C6" s="5">
        <v>4</v>
      </c>
      <c r="D6" s="5">
        <f t="shared" si="0"/>
        <v>396.4</v>
      </c>
      <c r="F6" s="5">
        <v>99.1</v>
      </c>
      <c r="G6" s="5">
        <v>3</v>
      </c>
      <c r="H6" s="5">
        <f t="shared" si="1"/>
        <v>297.29999999999995</v>
      </c>
      <c r="J6" s="5">
        <v>99.1</v>
      </c>
      <c r="K6" s="5">
        <v>4</v>
      </c>
      <c r="L6" s="5">
        <f t="shared" si="2"/>
        <v>396.4</v>
      </c>
      <c r="N6" s="5">
        <v>99.1</v>
      </c>
      <c r="O6" s="5">
        <v>5</v>
      </c>
      <c r="P6" s="5">
        <f t="shared" si="3"/>
        <v>495.5</v>
      </c>
      <c r="R6" s="5">
        <v>99.1</v>
      </c>
      <c r="S6" s="5">
        <v>4</v>
      </c>
      <c r="T6" s="5">
        <f t="shared" si="4"/>
        <v>396.4</v>
      </c>
      <c r="V6">
        <f t="shared" ref="V6:V14" si="10">AVERAGE(S6,O6,K6,G6,C6)</f>
        <v>4</v>
      </c>
      <c r="W6">
        <f t="shared" ref="W6:W14" si="11">V6*R6</f>
        <v>396.4</v>
      </c>
      <c r="Y6" s="40"/>
      <c r="Z6" s="40">
        <v>99</v>
      </c>
      <c r="AA6" s="40">
        <v>3</v>
      </c>
      <c r="AB6" s="40">
        <f t="shared" si="5"/>
        <v>297</v>
      </c>
      <c r="AC6" s="40"/>
      <c r="AD6" s="40">
        <v>99</v>
      </c>
      <c r="AE6" s="40">
        <v>4</v>
      </c>
      <c r="AF6" s="40">
        <f t="shared" si="6"/>
        <v>396</v>
      </c>
      <c r="AH6" s="40">
        <v>99</v>
      </c>
      <c r="AI6" s="40">
        <v>5</v>
      </c>
      <c r="AJ6" s="40">
        <f t="shared" si="7"/>
        <v>495</v>
      </c>
      <c r="AK6" s="40"/>
      <c r="AL6" s="40">
        <v>99</v>
      </c>
      <c r="AM6" s="40">
        <v>2</v>
      </c>
      <c r="AN6" s="40">
        <f t="shared" si="8"/>
        <v>198</v>
      </c>
      <c r="AP6" s="40">
        <v>99</v>
      </c>
      <c r="AQ6" s="40">
        <v>3</v>
      </c>
      <c r="AR6" s="40">
        <f t="shared" si="9"/>
        <v>297</v>
      </c>
    </row>
    <row r="7" spans="1:44" x14ac:dyDescent="0.45">
      <c r="B7" s="5">
        <v>99.4</v>
      </c>
      <c r="C7" s="5">
        <v>9</v>
      </c>
      <c r="D7" s="5">
        <f t="shared" si="0"/>
        <v>894.6</v>
      </c>
      <c r="F7" s="5">
        <v>99.4</v>
      </c>
      <c r="G7" s="5">
        <v>13</v>
      </c>
      <c r="H7" s="5">
        <f t="shared" si="1"/>
        <v>1292.2</v>
      </c>
      <c r="J7" s="5">
        <v>99.4</v>
      </c>
      <c r="K7" s="5">
        <v>9</v>
      </c>
      <c r="L7" s="5">
        <f t="shared" si="2"/>
        <v>894.6</v>
      </c>
      <c r="N7" s="5">
        <v>99.4</v>
      </c>
      <c r="O7" s="5">
        <v>8</v>
      </c>
      <c r="P7" s="5">
        <f t="shared" si="3"/>
        <v>795.2</v>
      </c>
      <c r="R7" s="5">
        <v>99.4</v>
      </c>
      <c r="S7" s="5">
        <v>13</v>
      </c>
      <c r="T7" s="5">
        <f t="shared" si="4"/>
        <v>1292.2</v>
      </c>
      <c r="V7">
        <f t="shared" si="10"/>
        <v>10.4</v>
      </c>
      <c r="W7">
        <f t="shared" si="11"/>
        <v>1033.76</v>
      </c>
      <c r="Y7" s="40"/>
      <c r="Z7" s="40">
        <v>99.1</v>
      </c>
      <c r="AA7" s="40">
        <v>7</v>
      </c>
      <c r="AB7" s="40">
        <f t="shared" si="5"/>
        <v>693.69999999999993</v>
      </c>
      <c r="AC7" s="40"/>
      <c r="AD7" s="40">
        <v>99.1</v>
      </c>
      <c r="AE7" s="40">
        <v>4</v>
      </c>
      <c r="AF7" s="40">
        <f t="shared" si="6"/>
        <v>396.4</v>
      </c>
      <c r="AH7" s="40">
        <v>99.1</v>
      </c>
      <c r="AI7" s="40">
        <v>8</v>
      </c>
      <c r="AJ7" s="40">
        <f t="shared" si="7"/>
        <v>792.8</v>
      </c>
      <c r="AK7" s="40"/>
      <c r="AL7" s="40">
        <v>99.1</v>
      </c>
      <c r="AM7" s="40">
        <v>9</v>
      </c>
      <c r="AN7" s="40">
        <f t="shared" si="8"/>
        <v>891.9</v>
      </c>
      <c r="AP7" s="40">
        <v>99.1</v>
      </c>
      <c r="AQ7" s="40">
        <v>10</v>
      </c>
      <c r="AR7" s="40">
        <f t="shared" si="9"/>
        <v>991</v>
      </c>
    </row>
    <row r="8" spans="1:44" x14ac:dyDescent="0.45">
      <c r="B8" s="5">
        <v>99.6</v>
      </c>
      <c r="C8" s="5">
        <v>38</v>
      </c>
      <c r="D8" s="5">
        <f t="shared" si="0"/>
        <v>3784.7999999999997</v>
      </c>
      <c r="F8" s="5">
        <v>99.6</v>
      </c>
      <c r="G8" s="5">
        <v>27</v>
      </c>
      <c r="H8" s="5">
        <f t="shared" si="1"/>
        <v>2689.2</v>
      </c>
      <c r="J8" s="5">
        <v>99.6</v>
      </c>
      <c r="K8" s="5">
        <v>29</v>
      </c>
      <c r="L8" s="5">
        <f t="shared" si="2"/>
        <v>2888.3999999999996</v>
      </c>
      <c r="N8" s="5">
        <v>99.6</v>
      </c>
      <c r="O8" s="5">
        <v>42</v>
      </c>
      <c r="P8" s="5">
        <f t="shared" si="3"/>
        <v>4183.2</v>
      </c>
      <c r="R8" s="5">
        <v>99.6</v>
      </c>
      <c r="S8" s="5">
        <v>32</v>
      </c>
      <c r="T8" s="5">
        <f t="shared" si="4"/>
        <v>3187.2</v>
      </c>
      <c r="V8">
        <f t="shared" si="10"/>
        <v>33.6</v>
      </c>
      <c r="W8">
        <f t="shared" si="11"/>
        <v>3346.56</v>
      </c>
      <c r="Y8" s="40"/>
      <c r="Z8" s="40">
        <v>99.4</v>
      </c>
      <c r="AA8" s="40">
        <v>18</v>
      </c>
      <c r="AB8" s="40">
        <f t="shared" si="5"/>
        <v>1789.2</v>
      </c>
      <c r="AC8" s="40"/>
      <c r="AD8" s="40">
        <v>99.4</v>
      </c>
      <c r="AE8" s="40">
        <v>16</v>
      </c>
      <c r="AF8" s="40">
        <f t="shared" si="6"/>
        <v>1590.4</v>
      </c>
      <c r="AH8" s="40">
        <v>99.4</v>
      </c>
      <c r="AI8" s="40">
        <v>21</v>
      </c>
      <c r="AJ8" s="40">
        <f t="shared" si="7"/>
        <v>2087.4</v>
      </c>
      <c r="AK8" s="40"/>
      <c r="AL8" s="40">
        <v>99.4</v>
      </c>
      <c r="AM8" s="40">
        <v>21</v>
      </c>
      <c r="AN8" s="40">
        <f t="shared" si="8"/>
        <v>2087.4</v>
      </c>
      <c r="AP8" s="40">
        <v>99.4</v>
      </c>
      <c r="AQ8" s="40">
        <v>20</v>
      </c>
      <c r="AR8" s="40">
        <f t="shared" si="9"/>
        <v>1988</v>
      </c>
    </row>
    <row r="9" spans="1:44" x14ac:dyDescent="0.45">
      <c r="B9" s="5">
        <v>99.8</v>
      </c>
      <c r="C9" s="5">
        <v>118</v>
      </c>
      <c r="D9" s="5">
        <f t="shared" si="0"/>
        <v>11776.4</v>
      </c>
      <c r="F9" s="5">
        <v>99.8</v>
      </c>
      <c r="G9" s="5">
        <v>116</v>
      </c>
      <c r="H9" s="5">
        <f t="shared" si="1"/>
        <v>11576.8</v>
      </c>
      <c r="J9" s="5">
        <v>99.8</v>
      </c>
      <c r="K9" s="5">
        <v>112</v>
      </c>
      <c r="L9" s="5">
        <f t="shared" si="2"/>
        <v>11177.6</v>
      </c>
      <c r="N9" s="5">
        <v>99.8</v>
      </c>
      <c r="O9" s="5">
        <v>116</v>
      </c>
      <c r="P9" s="5">
        <f t="shared" si="3"/>
        <v>11576.8</v>
      </c>
      <c r="R9" s="5">
        <v>99.8</v>
      </c>
      <c r="S9" s="5">
        <v>120</v>
      </c>
      <c r="T9" s="5">
        <f t="shared" si="4"/>
        <v>11976</v>
      </c>
      <c r="V9">
        <f t="shared" si="10"/>
        <v>116.4</v>
      </c>
      <c r="W9">
        <f t="shared" si="11"/>
        <v>11616.72</v>
      </c>
      <c r="Y9" s="40"/>
      <c r="Z9" s="40">
        <v>99.6</v>
      </c>
      <c r="AA9" s="40">
        <v>77</v>
      </c>
      <c r="AB9" s="40">
        <f t="shared" si="5"/>
        <v>7669.2</v>
      </c>
      <c r="AC9" s="40"/>
      <c r="AD9" s="40">
        <v>99.6</v>
      </c>
      <c r="AE9" s="40">
        <v>91</v>
      </c>
      <c r="AF9" s="40">
        <f t="shared" si="6"/>
        <v>9063.6</v>
      </c>
      <c r="AH9" s="40">
        <v>99.6</v>
      </c>
      <c r="AI9" s="40">
        <v>75</v>
      </c>
      <c r="AJ9" s="40">
        <f t="shared" si="7"/>
        <v>7470</v>
      </c>
      <c r="AK9" s="40"/>
      <c r="AL9" s="40">
        <v>99.6</v>
      </c>
      <c r="AM9" s="40">
        <v>62</v>
      </c>
      <c r="AN9" s="40">
        <f t="shared" si="8"/>
        <v>6175.2</v>
      </c>
      <c r="AP9" s="40">
        <v>99.6</v>
      </c>
      <c r="AQ9" s="40">
        <v>90</v>
      </c>
      <c r="AR9" s="40">
        <f t="shared" si="9"/>
        <v>8964</v>
      </c>
    </row>
    <row r="10" spans="1:44" x14ac:dyDescent="0.45">
      <c r="B10" s="5">
        <v>100</v>
      </c>
      <c r="C10" s="5">
        <v>178</v>
      </c>
      <c r="D10" s="5">
        <f t="shared" si="0"/>
        <v>17800</v>
      </c>
      <c r="F10" s="5">
        <v>100</v>
      </c>
      <c r="G10" s="5">
        <v>188</v>
      </c>
      <c r="H10" s="5">
        <f t="shared" si="1"/>
        <v>18800</v>
      </c>
      <c r="J10" s="5">
        <v>100</v>
      </c>
      <c r="K10" s="5">
        <v>183</v>
      </c>
      <c r="L10" s="5">
        <f t="shared" si="2"/>
        <v>18300</v>
      </c>
      <c r="N10" s="5">
        <v>100</v>
      </c>
      <c r="O10" s="5">
        <v>180</v>
      </c>
      <c r="P10" s="5">
        <f t="shared" si="3"/>
        <v>18000</v>
      </c>
      <c r="R10" s="5">
        <v>100</v>
      </c>
      <c r="S10" s="5">
        <v>195</v>
      </c>
      <c r="T10" s="5">
        <f t="shared" si="4"/>
        <v>19500</v>
      </c>
      <c r="V10">
        <f t="shared" si="10"/>
        <v>184.8</v>
      </c>
      <c r="W10">
        <f t="shared" si="11"/>
        <v>18480</v>
      </c>
      <c r="Y10" s="40"/>
      <c r="Z10" s="40">
        <v>99.8</v>
      </c>
      <c r="AA10" s="40">
        <v>195</v>
      </c>
      <c r="AB10" s="40">
        <f t="shared" si="5"/>
        <v>19461</v>
      </c>
      <c r="AC10" s="40"/>
      <c r="AD10" s="40">
        <v>99.8</v>
      </c>
      <c r="AE10" s="40">
        <v>169</v>
      </c>
      <c r="AF10" s="40">
        <f t="shared" si="6"/>
        <v>16866.2</v>
      </c>
      <c r="AH10" s="40">
        <v>99.8</v>
      </c>
      <c r="AI10" s="40">
        <v>154</v>
      </c>
      <c r="AJ10" s="40">
        <f t="shared" si="7"/>
        <v>15369.199999999999</v>
      </c>
      <c r="AK10" s="40"/>
      <c r="AL10" s="40">
        <v>99.8</v>
      </c>
      <c r="AM10" s="40">
        <v>174</v>
      </c>
      <c r="AN10" s="40">
        <f t="shared" si="8"/>
        <v>17365.2</v>
      </c>
      <c r="AP10" s="40">
        <v>99.8</v>
      </c>
      <c r="AQ10" s="40">
        <v>168</v>
      </c>
      <c r="AR10" s="40">
        <f t="shared" si="9"/>
        <v>16766.399999999998</v>
      </c>
    </row>
    <row r="11" spans="1:44" x14ac:dyDescent="0.45">
      <c r="B11" s="5">
        <v>100.1</v>
      </c>
      <c r="C11" s="5">
        <v>143</v>
      </c>
      <c r="D11" s="5">
        <f t="shared" si="0"/>
        <v>14314.3</v>
      </c>
      <c r="F11" s="5">
        <v>100.1</v>
      </c>
      <c r="G11" s="5">
        <v>141</v>
      </c>
      <c r="H11" s="5">
        <f t="shared" si="1"/>
        <v>14114.099999999999</v>
      </c>
      <c r="J11" s="5">
        <v>100.1</v>
      </c>
      <c r="K11" s="5">
        <v>148</v>
      </c>
      <c r="L11" s="5">
        <f t="shared" si="2"/>
        <v>14814.8</v>
      </c>
      <c r="N11" s="5">
        <v>100.1</v>
      </c>
      <c r="O11" s="5">
        <v>152</v>
      </c>
      <c r="P11" s="5">
        <f t="shared" si="3"/>
        <v>15215.199999999999</v>
      </c>
      <c r="R11" s="5">
        <v>100.1</v>
      </c>
      <c r="S11" s="5">
        <v>137</v>
      </c>
      <c r="T11" s="5">
        <f t="shared" si="4"/>
        <v>13713.699999999999</v>
      </c>
      <c r="V11">
        <f t="shared" si="10"/>
        <v>144.19999999999999</v>
      </c>
      <c r="W11">
        <f t="shared" si="11"/>
        <v>14434.419999999998</v>
      </c>
      <c r="Y11" s="40"/>
      <c r="Z11" s="40">
        <v>100</v>
      </c>
      <c r="AA11" s="40">
        <v>164</v>
      </c>
      <c r="AB11" s="40">
        <f t="shared" si="5"/>
        <v>16400</v>
      </c>
      <c r="AC11" s="40"/>
      <c r="AD11" s="40">
        <v>100</v>
      </c>
      <c r="AE11" s="40">
        <v>150</v>
      </c>
      <c r="AF11" s="40">
        <f t="shared" si="6"/>
        <v>15000</v>
      </c>
      <c r="AH11" s="40">
        <v>100</v>
      </c>
      <c r="AI11" s="40">
        <v>181</v>
      </c>
      <c r="AJ11" s="40">
        <f t="shared" si="7"/>
        <v>18100</v>
      </c>
      <c r="AK11" s="40"/>
      <c r="AL11" s="40">
        <v>100</v>
      </c>
      <c r="AM11" s="40">
        <v>149</v>
      </c>
      <c r="AN11" s="40">
        <f t="shared" si="8"/>
        <v>14900</v>
      </c>
      <c r="AP11" s="40">
        <v>100</v>
      </c>
      <c r="AQ11" s="40">
        <v>165</v>
      </c>
      <c r="AR11" s="40">
        <f t="shared" si="9"/>
        <v>16500</v>
      </c>
    </row>
    <row r="12" spans="1:44" x14ac:dyDescent="0.45">
      <c r="B12" s="5">
        <v>100.4</v>
      </c>
      <c r="C12" s="5">
        <v>62</v>
      </c>
      <c r="D12" s="5">
        <f t="shared" si="0"/>
        <v>6224.8</v>
      </c>
      <c r="F12" s="5">
        <v>100.4</v>
      </c>
      <c r="G12" s="5">
        <v>71</v>
      </c>
      <c r="H12" s="5">
        <f t="shared" si="1"/>
        <v>7128.4000000000005</v>
      </c>
      <c r="J12" s="5">
        <v>100.4</v>
      </c>
      <c r="K12" s="5">
        <v>66</v>
      </c>
      <c r="L12" s="5">
        <f t="shared" si="2"/>
        <v>6626.4000000000005</v>
      </c>
      <c r="N12" s="5">
        <v>100.4</v>
      </c>
      <c r="O12" s="5">
        <v>70</v>
      </c>
      <c r="P12" s="5">
        <f t="shared" si="3"/>
        <v>7028</v>
      </c>
      <c r="R12" s="5">
        <v>100.4</v>
      </c>
      <c r="S12" s="5">
        <v>67</v>
      </c>
      <c r="T12" s="5">
        <f t="shared" si="4"/>
        <v>6726.8</v>
      </c>
      <c r="V12">
        <f t="shared" si="10"/>
        <v>67.2</v>
      </c>
      <c r="W12">
        <f t="shared" si="11"/>
        <v>6746.880000000001</v>
      </c>
      <c r="Y12" s="40"/>
      <c r="Z12" s="40">
        <v>100.1</v>
      </c>
      <c r="AA12" s="40">
        <v>94</v>
      </c>
      <c r="AB12" s="40">
        <f t="shared" si="5"/>
        <v>9409.4</v>
      </c>
      <c r="AC12" s="40"/>
      <c r="AD12" s="40">
        <v>100.1</v>
      </c>
      <c r="AE12" s="40">
        <v>109</v>
      </c>
      <c r="AF12" s="40">
        <f t="shared" si="6"/>
        <v>10910.9</v>
      </c>
      <c r="AH12" s="40">
        <v>100.1</v>
      </c>
      <c r="AI12" s="40">
        <v>106</v>
      </c>
      <c r="AJ12" s="40">
        <f t="shared" si="7"/>
        <v>10610.599999999999</v>
      </c>
      <c r="AK12" s="40"/>
      <c r="AL12" s="40">
        <v>100.1</v>
      </c>
      <c r="AM12" s="40">
        <v>117</v>
      </c>
      <c r="AN12" s="40">
        <f t="shared" si="8"/>
        <v>11711.699999999999</v>
      </c>
      <c r="AP12" s="40">
        <v>100.1</v>
      </c>
      <c r="AQ12" s="40">
        <v>104</v>
      </c>
      <c r="AR12" s="40">
        <f t="shared" si="9"/>
        <v>10410.4</v>
      </c>
    </row>
    <row r="13" spans="1:44" x14ac:dyDescent="0.45">
      <c r="B13" s="5">
        <v>100.6</v>
      </c>
      <c r="C13" s="5">
        <v>12</v>
      </c>
      <c r="D13" s="5">
        <f t="shared" si="0"/>
        <v>1207.1999999999998</v>
      </c>
      <c r="F13" s="5">
        <v>100.6</v>
      </c>
      <c r="G13" s="5">
        <v>10</v>
      </c>
      <c r="H13" s="5">
        <f t="shared" si="1"/>
        <v>1006</v>
      </c>
      <c r="J13" s="5">
        <v>100.6</v>
      </c>
      <c r="K13" s="5">
        <v>16</v>
      </c>
      <c r="L13" s="5">
        <f t="shared" si="2"/>
        <v>1609.6</v>
      </c>
      <c r="N13" s="5">
        <v>100.6</v>
      </c>
      <c r="O13" s="5">
        <v>11</v>
      </c>
      <c r="P13" s="5">
        <f t="shared" si="3"/>
        <v>1106.5999999999999</v>
      </c>
      <c r="R13" s="5">
        <v>100.6</v>
      </c>
      <c r="S13" s="5">
        <v>15</v>
      </c>
      <c r="T13" s="5">
        <f t="shared" si="4"/>
        <v>1509</v>
      </c>
      <c r="V13">
        <f t="shared" si="10"/>
        <v>12.8</v>
      </c>
      <c r="W13">
        <f t="shared" si="11"/>
        <v>1287.68</v>
      </c>
      <c r="Y13" s="40"/>
      <c r="Z13" s="40">
        <v>100.4</v>
      </c>
      <c r="AA13" s="40">
        <v>32</v>
      </c>
      <c r="AB13" s="40">
        <f t="shared" si="5"/>
        <v>3212.8</v>
      </c>
      <c r="AC13" s="40"/>
      <c r="AD13" s="40">
        <v>100.4</v>
      </c>
      <c r="AE13" s="40">
        <v>28</v>
      </c>
      <c r="AF13" s="40">
        <f t="shared" si="6"/>
        <v>2811.2000000000003</v>
      </c>
      <c r="AH13" s="40">
        <v>100.4</v>
      </c>
      <c r="AI13" s="40">
        <v>34</v>
      </c>
      <c r="AJ13" s="40">
        <f t="shared" si="7"/>
        <v>3413.6000000000004</v>
      </c>
      <c r="AK13" s="40"/>
      <c r="AL13" s="40">
        <v>100.4</v>
      </c>
      <c r="AM13" s="40">
        <v>36</v>
      </c>
      <c r="AN13" s="40">
        <f t="shared" si="8"/>
        <v>3614.4</v>
      </c>
      <c r="AP13" s="40">
        <v>100.4</v>
      </c>
      <c r="AQ13" s="40">
        <v>33</v>
      </c>
      <c r="AR13" s="40">
        <f t="shared" si="9"/>
        <v>3313.2000000000003</v>
      </c>
    </row>
    <row r="14" spans="1:44" x14ac:dyDescent="0.45">
      <c r="B14" s="5">
        <v>100.8</v>
      </c>
      <c r="C14" s="5">
        <v>6</v>
      </c>
      <c r="D14" s="5">
        <f t="shared" si="0"/>
        <v>604.79999999999995</v>
      </c>
      <c r="F14" s="5">
        <v>100.8</v>
      </c>
      <c r="G14" s="5">
        <v>4</v>
      </c>
      <c r="H14" s="5">
        <f t="shared" si="1"/>
        <v>403.2</v>
      </c>
      <c r="J14" s="5">
        <v>100.8</v>
      </c>
      <c r="K14" s="5">
        <v>10</v>
      </c>
      <c r="L14" s="5">
        <f t="shared" si="2"/>
        <v>1008</v>
      </c>
      <c r="N14" s="5">
        <v>100.8</v>
      </c>
      <c r="O14" s="5">
        <v>5</v>
      </c>
      <c r="P14" s="5">
        <f t="shared" si="3"/>
        <v>504</v>
      </c>
      <c r="R14" s="5">
        <v>100.8</v>
      </c>
      <c r="S14" s="5">
        <v>3</v>
      </c>
      <c r="T14" s="5">
        <f t="shared" si="4"/>
        <v>302.39999999999998</v>
      </c>
      <c r="V14">
        <f t="shared" si="10"/>
        <v>5.6</v>
      </c>
      <c r="W14">
        <f t="shared" si="11"/>
        <v>564.4799999999999</v>
      </c>
      <c r="Y14" s="40"/>
      <c r="Z14" s="40">
        <v>100.6</v>
      </c>
      <c r="AA14" s="40">
        <v>4</v>
      </c>
      <c r="AB14" s="40">
        <f t="shared" si="5"/>
        <v>402.4</v>
      </c>
      <c r="AC14" s="40"/>
      <c r="AD14" s="40">
        <v>100.6</v>
      </c>
      <c r="AE14" s="40">
        <v>7</v>
      </c>
      <c r="AF14" s="40">
        <f t="shared" si="6"/>
        <v>704.19999999999993</v>
      </c>
      <c r="AH14" s="40">
        <v>100.6</v>
      </c>
      <c r="AI14" s="40">
        <v>9</v>
      </c>
      <c r="AJ14" s="40">
        <f t="shared" si="7"/>
        <v>905.4</v>
      </c>
      <c r="AK14" s="40"/>
      <c r="AL14" s="40">
        <v>100.6</v>
      </c>
      <c r="AM14" s="40">
        <v>5</v>
      </c>
      <c r="AN14" s="40">
        <f t="shared" si="8"/>
        <v>503</v>
      </c>
      <c r="AP14" s="40">
        <v>100.6</v>
      </c>
      <c r="AQ14" s="40">
        <v>8</v>
      </c>
      <c r="AR14" s="40">
        <f t="shared" si="9"/>
        <v>804.8</v>
      </c>
    </row>
    <row r="15" spans="1:44" x14ac:dyDescent="0.45">
      <c r="C15" s="5">
        <f>SUM(C5:C14)</f>
        <v>572</v>
      </c>
      <c r="D15" s="5">
        <f>SUM(D5:D14)</f>
        <v>57201.3</v>
      </c>
      <c r="G15" s="5">
        <f>SUM(G5:G14)</f>
        <v>576</v>
      </c>
      <c r="H15" s="5">
        <f>SUM(H5:H14)</f>
        <v>57604.2</v>
      </c>
      <c r="K15" s="5">
        <f>SUM(K5:K14)</f>
        <v>580</v>
      </c>
      <c r="L15" s="5">
        <f>SUM(L5:L14)</f>
        <v>58012.800000000003</v>
      </c>
      <c r="O15" s="5">
        <f>SUM(O5:O14)</f>
        <v>592</v>
      </c>
      <c r="P15" s="5">
        <f>SUM(P5:P14)</f>
        <v>59201.499999999993</v>
      </c>
      <c r="S15" s="5">
        <f>SUM(S5:S14)</f>
        <v>590</v>
      </c>
      <c r="T15" s="5">
        <f>SUM(T5:T14)</f>
        <v>58999.700000000004</v>
      </c>
      <c r="V15">
        <f>SUM(V5:V14)</f>
        <v>582</v>
      </c>
      <c r="W15">
        <f>SUM(W5:W14)</f>
        <v>58203.900000000009</v>
      </c>
      <c r="Y15" s="40"/>
      <c r="Z15" s="40">
        <v>100.8</v>
      </c>
      <c r="AA15" s="40">
        <v>2</v>
      </c>
      <c r="AB15" s="40">
        <f t="shared" si="5"/>
        <v>201.6</v>
      </c>
      <c r="AC15" s="40"/>
      <c r="AD15" s="40">
        <v>100.8</v>
      </c>
      <c r="AE15" s="40">
        <v>3</v>
      </c>
      <c r="AF15" s="40">
        <f t="shared" si="6"/>
        <v>302.39999999999998</v>
      </c>
      <c r="AH15" s="40">
        <v>100.8</v>
      </c>
      <c r="AI15" s="40">
        <v>3</v>
      </c>
      <c r="AJ15" s="40">
        <f t="shared" si="7"/>
        <v>302.39999999999998</v>
      </c>
      <c r="AK15" s="40"/>
      <c r="AL15" s="40">
        <v>100.8</v>
      </c>
      <c r="AM15" s="40">
        <v>0</v>
      </c>
      <c r="AN15" s="40">
        <f t="shared" si="8"/>
        <v>0</v>
      </c>
      <c r="AP15" s="40">
        <v>100.8</v>
      </c>
      <c r="AQ15" s="40">
        <v>4</v>
      </c>
      <c r="AR15" s="40">
        <f t="shared" si="9"/>
        <v>403.2</v>
      </c>
    </row>
    <row r="16" spans="1:44" x14ac:dyDescent="0.45">
      <c r="A16" s="8" t="s">
        <v>11</v>
      </c>
      <c r="D16" s="5">
        <f>D15/C15</f>
        <v>100.00227272727274</v>
      </c>
      <c r="H16" s="5">
        <f>H15/G15</f>
        <v>100.00729166666666</v>
      </c>
      <c r="L16" s="5">
        <f>L15/K15</f>
        <v>100.02206896551725</v>
      </c>
      <c r="P16" s="5">
        <f>P15/O15</f>
        <v>100.00253378378378</v>
      </c>
      <c r="T16" s="5">
        <f>T15/S15</f>
        <v>99.999491525423736</v>
      </c>
      <c r="W16">
        <f>W15/V15</f>
        <v>100.00670103092784</v>
      </c>
      <c r="AA16" s="43">
        <f>SUM(AA5:AA15)</f>
        <v>597</v>
      </c>
      <c r="AB16" s="43">
        <f>SUM(AB5:AB15)</f>
        <v>59635.100000000006</v>
      </c>
      <c r="AE16" s="43">
        <f>SUM(AE5:AE15)</f>
        <v>586</v>
      </c>
      <c r="AF16" s="43">
        <f>SUM(AF5:AF15)</f>
        <v>58535.3</v>
      </c>
      <c r="AI16" s="43">
        <f>SUM(AI5:AI15)</f>
        <v>599</v>
      </c>
      <c r="AJ16" s="43">
        <f>SUM(AJ5:AJ15)</f>
        <v>59842.8</v>
      </c>
      <c r="AM16" s="43">
        <f>SUM(AM5:AM15)</f>
        <v>577</v>
      </c>
      <c r="AN16" s="43">
        <f>SUM(AN5:AN15)</f>
        <v>57644.4</v>
      </c>
      <c r="AQ16" s="43">
        <f>SUM(AQ5:AQ15)</f>
        <v>608</v>
      </c>
      <c r="AR16" s="43">
        <f>SUM(AR5:AR15)</f>
        <v>60734.399999999994</v>
      </c>
    </row>
    <row r="17" spans="1:44" x14ac:dyDescent="0.45">
      <c r="A17" s="8" t="s">
        <v>12</v>
      </c>
      <c r="D17" s="5">
        <f>RADIANS(D16/2)</f>
        <v>0.87268445928411931</v>
      </c>
      <c r="H17" s="5">
        <f>RADIANS(H16/2)</f>
        <v>0.87272825779281038</v>
      </c>
      <c r="L17" s="5">
        <f>RADIANS(L16/2)</f>
        <v>0.87285721405255734</v>
      </c>
      <c r="P17" s="5">
        <f>RADIANS(P16/2)</f>
        <v>0.87268673743194503</v>
      </c>
      <c r="T17" s="5">
        <f>RADIANS(T16/2)</f>
        <v>0.87266018871940554</v>
      </c>
      <c r="W17">
        <f>RADIANS(W16/2)</f>
        <v>0.87272310352364924</v>
      </c>
      <c r="Y17" s="44" t="s">
        <v>11</v>
      </c>
      <c r="AB17" s="43">
        <f>AB16/AA16</f>
        <v>99.89128978224457</v>
      </c>
      <c r="AF17" s="43">
        <f>AF16/AE16</f>
        <v>99.889590443686018</v>
      </c>
      <c r="AJ17" s="43">
        <f>AJ16/AI16</f>
        <v>99.90450751252088</v>
      </c>
      <c r="AN17" s="43">
        <f>AN16/AM16</f>
        <v>99.903639514731367</v>
      </c>
      <c r="AR17" s="43">
        <f>AR16/AQ16</f>
        <v>99.892105263157887</v>
      </c>
    </row>
    <row r="18" spans="1:44" x14ac:dyDescent="0.45">
      <c r="Y18" s="44" t="s">
        <v>12</v>
      </c>
      <c r="AB18" s="43">
        <f>RADIANS(AB17/2)</f>
        <v>0.8717159503819687</v>
      </c>
      <c r="AF18" s="43">
        <f>RADIANS(AF17/2)</f>
        <v>0.87170112085549223</v>
      </c>
      <c r="AJ18" s="43">
        <f>RADIANS(AJ17/2)</f>
        <v>0.87183129683844973</v>
      </c>
      <c r="AN18" s="43">
        <f>RADIANS(AN17/2)</f>
        <v>0.87182372212878623</v>
      </c>
      <c r="AR18" s="43">
        <f>RADIANS(AR17/2)</f>
        <v>0.87172306679543088</v>
      </c>
    </row>
    <row r="20" spans="1:44" x14ac:dyDescent="0.45">
      <c r="A20" s="8" t="s">
        <v>13</v>
      </c>
      <c r="C20" s="5">
        <f>SUM(D17+H17+L17+P17+T17)/5</f>
        <v>0.87272337145616752</v>
      </c>
      <c r="F20" s="8" t="s">
        <v>14</v>
      </c>
      <c r="G20" s="5">
        <f>1.5406*0.0000000001</f>
        <v>1.5406000000000001E-10</v>
      </c>
    </row>
    <row r="21" spans="1:44" x14ac:dyDescent="0.45">
      <c r="Y21" s="44" t="s">
        <v>13</v>
      </c>
      <c r="AA21" s="43">
        <f>SUM(AB18+AF18+AJ18+AN18+AR18)/5</f>
        <v>0.87175903140002542</v>
      </c>
      <c r="AD21" s="44" t="s">
        <v>14</v>
      </c>
      <c r="AE21" s="43">
        <v>1.5406000000000001E-10</v>
      </c>
    </row>
    <row r="22" spans="1:44" x14ac:dyDescent="0.45">
      <c r="A22" s="8" t="s">
        <v>15</v>
      </c>
      <c r="C22" s="5">
        <f>(2*G20)/(2*SIN(C20))</f>
        <v>2.0110113440440217E-10</v>
      </c>
      <c r="F22" t="s">
        <v>27</v>
      </c>
      <c r="H22">
        <f>(2*G20)/(2*SIN(W17))</f>
        <v>2.0110117961100063E-10</v>
      </c>
    </row>
    <row r="23" spans="1:44" x14ac:dyDescent="0.45">
      <c r="A23" s="8" t="s">
        <v>16</v>
      </c>
      <c r="Y23" s="44" t="s">
        <v>15</v>
      </c>
      <c r="AA23" s="43">
        <f>(2*AE21)/(2*SIN(AA21))</f>
        <v>2.0126406686490384E-10</v>
      </c>
    </row>
    <row r="24" spans="1:44" x14ac:dyDescent="0.45">
      <c r="Y24" s="44" t="s">
        <v>16</v>
      </c>
    </row>
    <row r="25" spans="1:44" x14ac:dyDescent="0.45">
      <c r="F25" t="s">
        <v>28</v>
      </c>
      <c r="H25">
        <f>STDEV(D16,H16,L16,P16,T16,AB17,AF17,AJ17,AN17,AR17)</f>
        <v>5.8748906578065981E-2</v>
      </c>
    </row>
    <row r="26" spans="1:44" x14ac:dyDescent="0.45">
      <c r="F26" t="s">
        <v>29</v>
      </c>
      <c r="H26">
        <f>AVERAGE(D16,H16,L16,P16,T16,AB17,AF17,AJ17,AN17,AR17)</f>
        <v>99.951479118500487</v>
      </c>
    </row>
    <row r="27" spans="1:44" x14ac:dyDescent="0.45">
      <c r="F27" t="s">
        <v>30</v>
      </c>
      <c r="H27">
        <f>H25/H26</f>
        <v>5.8777425903236956E-4</v>
      </c>
    </row>
  </sheetData>
  <mergeCells count="11">
    <mergeCell ref="Z2:AB2"/>
    <mergeCell ref="AD2:AE2"/>
    <mergeCell ref="AH2:AI2"/>
    <mergeCell ref="AL2:AM2"/>
    <mergeCell ref="AP2:AQ2"/>
    <mergeCell ref="F2:G2"/>
    <mergeCell ref="J2:K2"/>
    <mergeCell ref="N2:O2"/>
    <mergeCell ref="R2:S2"/>
    <mergeCell ref="B1:S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Widescan</vt:lpstr>
      <vt:lpstr>Peak 1</vt:lpstr>
      <vt:lpstr>Peak 2</vt:lpstr>
      <vt:lpstr>Peak 3</vt:lpstr>
      <vt:lpstr>Peak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Bhar</cp:lastModifiedBy>
  <dcterms:created xsi:type="dcterms:W3CDTF">2026-03-26T09:16:44Z</dcterms:created>
  <dcterms:modified xsi:type="dcterms:W3CDTF">2026-03-30T09:51:33Z</dcterms:modified>
</cp:coreProperties>
</file>