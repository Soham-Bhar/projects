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XRD\"/>
    </mc:Choice>
  </mc:AlternateContent>
  <xr:revisionPtr revIDLastSave="0" documentId="13_ncr:1_{47E05181-2275-4265-A2EF-1C053F449E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T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09" i="1" l="1"/>
  <c r="BN100" i="1"/>
  <c r="BN99" i="1"/>
  <c r="BN98" i="1"/>
  <c r="BF106" i="1"/>
  <c r="BL104" i="1"/>
  <c r="BL103" i="1"/>
  <c r="BL102" i="1"/>
  <c r="BL101" i="1"/>
  <c r="BI103" i="1"/>
  <c r="BI104" i="1"/>
  <c r="BI102" i="1"/>
  <c r="BH104" i="1"/>
  <c r="BH103" i="1"/>
  <c r="BH102" i="1"/>
  <c r="BF104" i="1"/>
  <c r="BF103" i="1"/>
  <c r="BF102" i="1"/>
  <c r="BH99" i="1"/>
  <c r="BH100" i="1"/>
  <c r="BH98" i="1"/>
  <c r="BF100" i="1"/>
  <c r="BF99" i="1"/>
  <c r="BF98" i="1"/>
  <c r="BD83" i="1"/>
  <c r="BH92" i="1"/>
  <c r="BH91" i="1"/>
  <c r="BH90" i="1"/>
  <c r="BI91" i="1"/>
  <c r="BI92" i="1"/>
  <c r="BI90" i="1"/>
  <c r="BG96" i="1"/>
  <c r="BG95" i="1"/>
  <c r="BG94" i="1"/>
  <c r="BF92" i="1"/>
  <c r="BF91" i="1"/>
  <c r="BF90" i="1"/>
  <c r="BF88" i="1"/>
  <c r="BF87" i="1"/>
  <c r="BF86" i="1"/>
  <c r="BF179" i="1"/>
  <c r="BF175" i="1"/>
  <c r="BF180" i="1"/>
  <c r="BF182" i="1" s="1"/>
  <c r="BF184" i="1" s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P151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Q7" i="1"/>
  <c r="AP7" i="1"/>
  <c r="AO10" i="1"/>
  <c r="AO151" i="1"/>
  <c r="AO9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8" i="1"/>
  <c r="AO7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K148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9" i="1"/>
  <c r="AK150" i="1"/>
  <c r="AK151" i="1"/>
  <c r="AK152" i="1"/>
  <c r="AK153" i="1"/>
  <c r="AK154" i="1"/>
  <c r="AK4" i="1"/>
  <c r="AM4" i="1"/>
  <c r="AL4" i="1"/>
</calcChain>
</file>

<file path=xl/sharedStrings.xml><?xml version="1.0" encoding="utf-8"?>
<sst xmlns="http://schemas.openxmlformats.org/spreadsheetml/2006/main" count="80" uniqueCount="48">
  <si>
    <t>Experiment 2 – All Trials (Wide Scan)</t>
  </si>
  <si>
    <t>Trial 1  (exp2_RD1)</t>
  </si>
  <si>
    <t>Trial 2  (exp2_RD2)</t>
  </si>
  <si>
    <t>Trial 3  (exp2_RD3)</t>
  </si>
  <si>
    <t>Trial 4  (exp2_RD4)</t>
  </si>
  <si>
    <t>Trial 5  (exp2_RD5)</t>
  </si>
  <si>
    <t>Trial 6  (exp2_RD6)</t>
  </si>
  <si>
    <t>Trial 7  (exp2_RD7)</t>
  </si>
  <si>
    <t>2*theta/�</t>
  </si>
  <si>
    <t>R(25kV)/Imp/s</t>
  </si>
  <si>
    <t>R(30kV)/Imp/s</t>
  </si>
  <si>
    <t>R(35kV)/Imp/s</t>
  </si>
  <si>
    <t>25 kV</t>
  </si>
  <si>
    <t>30 kV</t>
  </si>
  <si>
    <t>35 kV</t>
  </si>
  <si>
    <t>Average Values (excluding run 7 since 7 is on higher current)</t>
  </si>
  <si>
    <t xml:space="preserve">Smoothed values </t>
  </si>
  <si>
    <t xml:space="preserve">FOR REGRESSION PURPOSES </t>
  </si>
  <si>
    <t xml:space="preserve">25kV </t>
  </si>
  <si>
    <t xml:space="preserve">2*theta </t>
  </si>
  <si>
    <t xml:space="preserve">noisy data </t>
  </si>
  <si>
    <t>moving average smoothing</t>
  </si>
  <si>
    <t>2*theta min=</t>
  </si>
  <si>
    <t xml:space="preserve">theta min= </t>
  </si>
  <si>
    <t xml:space="preserve">lambda min = </t>
  </si>
  <si>
    <t>h=</t>
  </si>
  <si>
    <t xml:space="preserve">background rad= </t>
  </si>
  <si>
    <t>background for 35 kV=</t>
  </si>
  <si>
    <t>background for 30 kV=</t>
  </si>
  <si>
    <t>background for 25 kV=</t>
  </si>
  <si>
    <t>2theta min 35 kV =</t>
  </si>
  <si>
    <t>2theta min 30 kV=</t>
  </si>
  <si>
    <t>2theta min 25 kV=</t>
  </si>
  <si>
    <t>2theta min error 35 kV =</t>
  </si>
  <si>
    <t>2theta min error 30 kV=</t>
  </si>
  <si>
    <t>2theta min error 25 kV=</t>
  </si>
  <si>
    <t>relative</t>
  </si>
  <si>
    <t>sin theta</t>
  </si>
  <si>
    <t xml:space="preserve">cos theta </t>
  </si>
  <si>
    <t>lambda min 35 kV</t>
  </si>
  <si>
    <t>lambda min 30 kV</t>
  </si>
  <si>
    <t>lambda min 25 kV</t>
  </si>
  <si>
    <t xml:space="preserve">relative error </t>
  </si>
  <si>
    <t>h val 35 kV</t>
  </si>
  <si>
    <t>h val 30 kV</t>
  </si>
  <si>
    <t>h val 25 kV</t>
  </si>
  <si>
    <t xml:space="preserve">absolute error </t>
  </si>
  <si>
    <t xml:space="preserve">discrepency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</si>
</sst>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AF2F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164" fontId="0" fillId="0" borderId="0" xfId="0" applyNumberFormat="1"/>
    <xf numFmtId="0" fontId="4" fillId="4" borderId="0" xfId="0" applyFont="1" applyFill="1" applyAlignment="1">
      <alignment horizontal="center" vertical="center"/>
    </xf>
    <xf numFmtId="164" fontId="0" fillId="6" borderId="0" xfId="0" applyNumberFormat="1" applyFill="1"/>
    <xf numFmtId="0" fontId="4" fillId="4" borderId="2" xfId="0" applyFont="1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Trials'!$A$4:$A$154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12.8</c:v>
                </c:pt>
                <c:pt idx="15">
                  <c:v>13</c:v>
                </c:pt>
                <c:pt idx="16">
                  <c:v>13.2</c:v>
                </c:pt>
                <c:pt idx="17">
                  <c:v>13.4</c:v>
                </c:pt>
                <c:pt idx="18">
                  <c:v>13.6</c:v>
                </c:pt>
                <c:pt idx="19">
                  <c:v>13.8</c:v>
                </c:pt>
                <c:pt idx="20">
                  <c:v>14</c:v>
                </c:pt>
                <c:pt idx="21">
                  <c:v>14.2</c:v>
                </c:pt>
                <c:pt idx="22">
                  <c:v>14.4</c:v>
                </c:pt>
                <c:pt idx="23">
                  <c:v>14.6</c:v>
                </c:pt>
                <c:pt idx="24">
                  <c:v>14.8</c:v>
                </c:pt>
                <c:pt idx="25">
                  <c:v>15</c:v>
                </c:pt>
                <c:pt idx="26">
                  <c:v>15.2</c:v>
                </c:pt>
                <c:pt idx="27">
                  <c:v>15.4</c:v>
                </c:pt>
                <c:pt idx="28">
                  <c:v>15.6</c:v>
                </c:pt>
                <c:pt idx="29">
                  <c:v>15.8</c:v>
                </c:pt>
                <c:pt idx="30">
                  <c:v>16</c:v>
                </c:pt>
                <c:pt idx="31">
                  <c:v>16.2</c:v>
                </c:pt>
                <c:pt idx="32">
                  <c:v>16.399999999999999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17</c:v>
                </c:pt>
                <c:pt idx="36">
                  <c:v>17.2</c:v>
                </c:pt>
                <c:pt idx="37">
                  <c:v>17.399999999999999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18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19</c:v>
                </c:pt>
                <c:pt idx="46">
                  <c:v>19.2</c:v>
                </c:pt>
                <c:pt idx="47">
                  <c:v>19.399999999999999</c:v>
                </c:pt>
                <c:pt idx="48">
                  <c:v>19.600000000000001</c:v>
                </c:pt>
                <c:pt idx="49">
                  <c:v>19.7</c:v>
                </c:pt>
                <c:pt idx="50">
                  <c:v>20</c:v>
                </c:pt>
                <c:pt idx="51">
                  <c:v>20.2</c:v>
                </c:pt>
                <c:pt idx="52">
                  <c:v>20.399999999999999</c:v>
                </c:pt>
                <c:pt idx="53">
                  <c:v>20.6</c:v>
                </c:pt>
                <c:pt idx="54">
                  <c:v>20.7</c:v>
                </c:pt>
                <c:pt idx="55">
                  <c:v>21</c:v>
                </c:pt>
                <c:pt idx="56">
                  <c:v>21.2</c:v>
                </c:pt>
                <c:pt idx="57">
                  <c:v>21.4</c:v>
                </c:pt>
                <c:pt idx="58">
                  <c:v>21.6</c:v>
                </c:pt>
                <c:pt idx="59">
                  <c:v>21.7</c:v>
                </c:pt>
                <c:pt idx="60">
                  <c:v>22</c:v>
                </c:pt>
                <c:pt idx="61">
                  <c:v>22.2</c:v>
                </c:pt>
                <c:pt idx="62">
                  <c:v>22.4</c:v>
                </c:pt>
                <c:pt idx="63">
                  <c:v>22.6</c:v>
                </c:pt>
                <c:pt idx="64">
                  <c:v>22.7</c:v>
                </c:pt>
                <c:pt idx="65">
                  <c:v>23</c:v>
                </c:pt>
                <c:pt idx="66">
                  <c:v>23.2</c:v>
                </c:pt>
                <c:pt idx="67">
                  <c:v>23.4</c:v>
                </c:pt>
                <c:pt idx="68">
                  <c:v>23.6</c:v>
                </c:pt>
                <c:pt idx="69">
                  <c:v>23.8</c:v>
                </c:pt>
                <c:pt idx="70">
                  <c:v>24</c:v>
                </c:pt>
                <c:pt idx="71">
                  <c:v>24.2</c:v>
                </c:pt>
                <c:pt idx="72">
                  <c:v>24.4</c:v>
                </c:pt>
                <c:pt idx="73">
                  <c:v>24.6</c:v>
                </c:pt>
                <c:pt idx="74">
                  <c:v>24.8</c:v>
                </c:pt>
                <c:pt idx="75">
                  <c:v>25</c:v>
                </c:pt>
                <c:pt idx="76">
                  <c:v>25.2</c:v>
                </c:pt>
                <c:pt idx="77">
                  <c:v>25.4</c:v>
                </c:pt>
                <c:pt idx="78">
                  <c:v>25.6</c:v>
                </c:pt>
                <c:pt idx="79">
                  <c:v>25.8</c:v>
                </c:pt>
                <c:pt idx="80">
                  <c:v>26</c:v>
                </c:pt>
                <c:pt idx="81">
                  <c:v>26.2</c:v>
                </c:pt>
                <c:pt idx="82">
                  <c:v>26.4</c:v>
                </c:pt>
                <c:pt idx="83">
                  <c:v>26.6</c:v>
                </c:pt>
                <c:pt idx="84">
                  <c:v>26.8</c:v>
                </c:pt>
                <c:pt idx="85">
                  <c:v>27</c:v>
                </c:pt>
                <c:pt idx="86">
                  <c:v>27.2</c:v>
                </c:pt>
                <c:pt idx="87">
                  <c:v>27.4</c:v>
                </c:pt>
                <c:pt idx="88">
                  <c:v>27.6</c:v>
                </c:pt>
                <c:pt idx="89">
                  <c:v>27.8</c:v>
                </c:pt>
                <c:pt idx="90">
                  <c:v>28</c:v>
                </c:pt>
                <c:pt idx="91">
                  <c:v>28.2</c:v>
                </c:pt>
                <c:pt idx="92">
                  <c:v>28.4</c:v>
                </c:pt>
                <c:pt idx="93">
                  <c:v>28.6</c:v>
                </c:pt>
                <c:pt idx="94">
                  <c:v>28.8</c:v>
                </c:pt>
                <c:pt idx="95">
                  <c:v>29</c:v>
                </c:pt>
                <c:pt idx="96">
                  <c:v>29.2</c:v>
                </c:pt>
                <c:pt idx="97">
                  <c:v>29.4</c:v>
                </c:pt>
                <c:pt idx="98">
                  <c:v>29.6</c:v>
                </c:pt>
                <c:pt idx="99">
                  <c:v>29.8</c:v>
                </c:pt>
                <c:pt idx="100">
                  <c:v>30</c:v>
                </c:pt>
                <c:pt idx="101">
                  <c:v>30.2</c:v>
                </c:pt>
                <c:pt idx="102">
                  <c:v>30.4</c:v>
                </c:pt>
                <c:pt idx="103">
                  <c:v>30.6</c:v>
                </c:pt>
                <c:pt idx="104">
                  <c:v>30.8</c:v>
                </c:pt>
                <c:pt idx="105">
                  <c:v>31</c:v>
                </c:pt>
                <c:pt idx="106">
                  <c:v>31.2</c:v>
                </c:pt>
                <c:pt idx="107">
                  <c:v>31.4</c:v>
                </c:pt>
                <c:pt idx="108">
                  <c:v>31.6</c:v>
                </c:pt>
                <c:pt idx="109">
                  <c:v>31.8</c:v>
                </c:pt>
                <c:pt idx="110">
                  <c:v>32</c:v>
                </c:pt>
                <c:pt idx="111">
                  <c:v>32.200000000000003</c:v>
                </c:pt>
                <c:pt idx="112">
                  <c:v>32.4</c:v>
                </c:pt>
                <c:pt idx="113">
                  <c:v>32.5</c:v>
                </c:pt>
                <c:pt idx="114">
                  <c:v>32.799999999999997</c:v>
                </c:pt>
                <c:pt idx="115">
                  <c:v>33</c:v>
                </c:pt>
                <c:pt idx="116">
                  <c:v>33.200000000000003</c:v>
                </c:pt>
                <c:pt idx="117">
                  <c:v>33.4</c:v>
                </c:pt>
                <c:pt idx="118">
                  <c:v>33.5</c:v>
                </c:pt>
                <c:pt idx="119">
                  <c:v>33.799999999999997</c:v>
                </c:pt>
                <c:pt idx="120">
                  <c:v>34</c:v>
                </c:pt>
                <c:pt idx="121">
                  <c:v>34.200000000000003</c:v>
                </c:pt>
                <c:pt idx="122">
                  <c:v>34.4</c:v>
                </c:pt>
                <c:pt idx="123">
                  <c:v>34.5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35.200000000000003</c:v>
                </c:pt>
                <c:pt idx="127">
                  <c:v>35.4</c:v>
                </c:pt>
                <c:pt idx="128">
                  <c:v>35.5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36.200000000000003</c:v>
                </c:pt>
                <c:pt idx="132">
                  <c:v>36.4</c:v>
                </c:pt>
                <c:pt idx="133">
                  <c:v>36.5</c:v>
                </c:pt>
                <c:pt idx="134">
                  <c:v>36.799999999999997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37.799999999999997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38.5</c:v>
                </c:pt>
                <c:pt idx="144">
                  <c:v>38.799999999999997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39.5</c:v>
                </c:pt>
                <c:pt idx="149">
                  <c:v>39.799999999999997</c:v>
                </c:pt>
                <c:pt idx="150">
                  <c:v>40</c:v>
                </c:pt>
              </c:numCache>
            </c:numRef>
          </c:xVal>
          <c:yVal>
            <c:numRef>
              <c:f>'All Trials'!$B$4:$B$154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7</c:v>
                </c:pt>
                <c:pt idx="27">
                  <c:v>11</c:v>
                </c:pt>
                <c:pt idx="28">
                  <c:v>11</c:v>
                </c:pt>
                <c:pt idx="29">
                  <c:v>8</c:v>
                </c:pt>
                <c:pt idx="30">
                  <c:v>12</c:v>
                </c:pt>
                <c:pt idx="31">
                  <c:v>15</c:v>
                </c:pt>
                <c:pt idx="32">
                  <c:v>18</c:v>
                </c:pt>
                <c:pt idx="33">
                  <c:v>21</c:v>
                </c:pt>
                <c:pt idx="34">
                  <c:v>34</c:v>
                </c:pt>
                <c:pt idx="35">
                  <c:v>26</c:v>
                </c:pt>
                <c:pt idx="36">
                  <c:v>36</c:v>
                </c:pt>
                <c:pt idx="37">
                  <c:v>30</c:v>
                </c:pt>
                <c:pt idx="38">
                  <c:v>33</c:v>
                </c:pt>
                <c:pt idx="39">
                  <c:v>35</c:v>
                </c:pt>
                <c:pt idx="40">
                  <c:v>31</c:v>
                </c:pt>
                <c:pt idx="41">
                  <c:v>39</c:v>
                </c:pt>
                <c:pt idx="42">
                  <c:v>33</c:v>
                </c:pt>
                <c:pt idx="43">
                  <c:v>35</c:v>
                </c:pt>
                <c:pt idx="44">
                  <c:v>56</c:v>
                </c:pt>
                <c:pt idx="45">
                  <c:v>40</c:v>
                </c:pt>
                <c:pt idx="46">
                  <c:v>47</c:v>
                </c:pt>
                <c:pt idx="47">
                  <c:v>38</c:v>
                </c:pt>
                <c:pt idx="48">
                  <c:v>50</c:v>
                </c:pt>
                <c:pt idx="49">
                  <c:v>42</c:v>
                </c:pt>
                <c:pt idx="50">
                  <c:v>69</c:v>
                </c:pt>
                <c:pt idx="51">
                  <c:v>43</c:v>
                </c:pt>
                <c:pt idx="52">
                  <c:v>48</c:v>
                </c:pt>
                <c:pt idx="53">
                  <c:v>60</c:v>
                </c:pt>
                <c:pt idx="54">
                  <c:v>52</c:v>
                </c:pt>
                <c:pt idx="55">
                  <c:v>55</c:v>
                </c:pt>
                <c:pt idx="56">
                  <c:v>61</c:v>
                </c:pt>
                <c:pt idx="57">
                  <c:v>47</c:v>
                </c:pt>
                <c:pt idx="58">
                  <c:v>59</c:v>
                </c:pt>
                <c:pt idx="59">
                  <c:v>70</c:v>
                </c:pt>
                <c:pt idx="60">
                  <c:v>68</c:v>
                </c:pt>
                <c:pt idx="61">
                  <c:v>49</c:v>
                </c:pt>
                <c:pt idx="62">
                  <c:v>55</c:v>
                </c:pt>
                <c:pt idx="63">
                  <c:v>56</c:v>
                </c:pt>
                <c:pt idx="64">
                  <c:v>69</c:v>
                </c:pt>
                <c:pt idx="65">
                  <c:v>49</c:v>
                </c:pt>
                <c:pt idx="66">
                  <c:v>64</c:v>
                </c:pt>
                <c:pt idx="67">
                  <c:v>63</c:v>
                </c:pt>
                <c:pt idx="68">
                  <c:v>62</c:v>
                </c:pt>
                <c:pt idx="69">
                  <c:v>59</c:v>
                </c:pt>
                <c:pt idx="70">
                  <c:v>74</c:v>
                </c:pt>
                <c:pt idx="71">
                  <c:v>60</c:v>
                </c:pt>
                <c:pt idx="72">
                  <c:v>66</c:v>
                </c:pt>
                <c:pt idx="73">
                  <c:v>39</c:v>
                </c:pt>
                <c:pt idx="74">
                  <c:v>56</c:v>
                </c:pt>
                <c:pt idx="75">
                  <c:v>58</c:v>
                </c:pt>
                <c:pt idx="76">
                  <c:v>59</c:v>
                </c:pt>
                <c:pt idx="77">
                  <c:v>54</c:v>
                </c:pt>
                <c:pt idx="78">
                  <c:v>57</c:v>
                </c:pt>
                <c:pt idx="79">
                  <c:v>48</c:v>
                </c:pt>
                <c:pt idx="80">
                  <c:v>72</c:v>
                </c:pt>
                <c:pt idx="81">
                  <c:v>60</c:v>
                </c:pt>
                <c:pt idx="82">
                  <c:v>58</c:v>
                </c:pt>
                <c:pt idx="83">
                  <c:v>47</c:v>
                </c:pt>
                <c:pt idx="84">
                  <c:v>50</c:v>
                </c:pt>
                <c:pt idx="85">
                  <c:v>57</c:v>
                </c:pt>
                <c:pt idx="86">
                  <c:v>58</c:v>
                </c:pt>
                <c:pt idx="87">
                  <c:v>45</c:v>
                </c:pt>
                <c:pt idx="88">
                  <c:v>49</c:v>
                </c:pt>
                <c:pt idx="89">
                  <c:v>36</c:v>
                </c:pt>
                <c:pt idx="90">
                  <c:v>39</c:v>
                </c:pt>
                <c:pt idx="91">
                  <c:v>45</c:v>
                </c:pt>
                <c:pt idx="92">
                  <c:v>32</c:v>
                </c:pt>
                <c:pt idx="93">
                  <c:v>45</c:v>
                </c:pt>
                <c:pt idx="94">
                  <c:v>30</c:v>
                </c:pt>
                <c:pt idx="95">
                  <c:v>44</c:v>
                </c:pt>
                <c:pt idx="96">
                  <c:v>43</c:v>
                </c:pt>
                <c:pt idx="97">
                  <c:v>42</c:v>
                </c:pt>
                <c:pt idx="98">
                  <c:v>30</c:v>
                </c:pt>
                <c:pt idx="99">
                  <c:v>26</c:v>
                </c:pt>
                <c:pt idx="100">
                  <c:v>30</c:v>
                </c:pt>
                <c:pt idx="101">
                  <c:v>44</c:v>
                </c:pt>
                <c:pt idx="102">
                  <c:v>29</c:v>
                </c:pt>
                <c:pt idx="103">
                  <c:v>21</c:v>
                </c:pt>
                <c:pt idx="104">
                  <c:v>30</c:v>
                </c:pt>
                <c:pt idx="105">
                  <c:v>39</c:v>
                </c:pt>
                <c:pt idx="106">
                  <c:v>27</c:v>
                </c:pt>
                <c:pt idx="107">
                  <c:v>20</c:v>
                </c:pt>
                <c:pt idx="108">
                  <c:v>32</c:v>
                </c:pt>
                <c:pt idx="109">
                  <c:v>26</c:v>
                </c:pt>
                <c:pt idx="110">
                  <c:v>26</c:v>
                </c:pt>
                <c:pt idx="111">
                  <c:v>27</c:v>
                </c:pt>
                <c:pt idx="112">
                  <c:v>27</c:v>
                </c:pt>
                <c:pt idx="113">
                  <c:v>28</c:v>
                </c:pt>
                <c:pt idx="114">
                  <c:v>26</c:v>
                </c:pt>
                <c:pt idx="115">
                  <c:v>21</c:v>
                </c:pt>
                <c:pt idx="116">
                  <c:v>29</c:v>
                </c:pt>
                <c:pt idx="117">
                  <c:v>19</c:v>
                </c:pt>
                <c:pt idx="118">
                  <c:v>21</c:v>
                </c:pt>
                <c:pt idx="119">
                  <c:v>23</c:v>
                </c:pt>
                <c:pt idx="120">
                  <c:v>27</c:v>
                </c:pt>
                <c:pt idx="121">
                  <c:v>24</c:v>
                </c:pt>
                <c:pt idx="122">
                  <c:v>15</c:v>
                </c:pt>
                <c:pt idx="123">
                  <c:v>18</c:v>
                </c:pt>
                <c:pt idx="124">
                  <c:v>21</c:v>
                </c:pt>
                <c:pt idx="125">
                  <c:v>25</c:v>
                </c:pt>
                <c:pt idx="126">
                  <c:v>22</c:v>
                </c:pt>
                <c:pt idx="127">
                  <c:v>27</c:v>
                </c:pt>
                <c:pt idx="128">
                  <c:v>14</c:v>
                </c:pt>
                <c:pt idx="129">
                  <c:v>13</c:v>
                </c:pt>
                <c:pt idx="130">
                  <c:v>18</c:v>
                </c:pt>
                <c:pt idx="131">
                  <c:v>10</c:v>
                </c:pt>
                <c:pt idx="132">
                  <c:v>24</c:v>
                </c:pt>
                <c:pt idx="133">
                  <c:v>24</c:v>
                </c:pt>
                <c:pt idx="134">
                  <c:v>17</c:v>
                </c:pt>
                <c:pt idx="135">
                  <c:v>16</c:v>
                </c:pt>
                <c:pt idx="136">
                  <c:v>14</c:v>
                </c:pt>
                <c:pt idx="137">
                  <c:v>10</c:v>
                </c:pt>
                <c:pt idx="138">
                  <c:v>14</c:v>
                </c:pt>
                <c:pt idx="139">
                  <c:v>18</c:v>
                </c:pt>
                <c:pt idx="140">
                  <c:v>17</c:v>
                </c:pt>
                <c:pt idx="141">
                  <c:v>11</c:v>
                </c:pt>
                <c:pt idx="142">
                  <c:v>15</c:v>
                </c:pt>
                <c:pt idx="143">
                  <c:v>17</c:v>
                </c:pt>
                <c:pt idx="144">
                  <c:v>16</c:v>
                </c:pt>
                <c:pt idx="145">
                  <c:v>12</c:v>
                </c:pt>
                <c:pt idx="146">
                  <c:v>23</c:v>
                </c:pt>
                <c:pt idx="147">
                  <c:v>8</c:v>
                </c:pt>
                <c:pt idx="148">
                  <c:v>11</c:v>
                </c:pt>
                <c:pt idx="149">
                  <c:v>15</c:v>
                </c:pt>
                <c:pt idx="15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C-410B-9DA3-32AC4EA52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016176"/>
        <c:axId val="1258029616"/>
      </c:scatterChart>
      <c:valAx>
        <c:axId val="125801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29616"/>
        <c:crosses val="autoZero"/>
        <c:crossBetween val="midCat"/>
      </c:valAx>
      <c:valAx>
        <c:axId val="12580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1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Bremmstrahlung</a:t>
            </a:r>
            <a:r>
              <a:rPr lang="en-IN" b="1" baseline="0"/>
              <a:t> for different voltages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18087605042709"/>
          <c:y val="0.17098177776503296"/>
          <c:w val="0.79496387947306524"/>
          <c:h val="0.647829611715929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'All Trials'!$AK$3</c:f>
              <c:strCache>
                <c:ptCount val="1"/>
                <c:pt idx="0">
                  <c:v>25 kV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Trials'!$AE$4:$AE$154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12.8</c:v>
                </c:pt>
                <c:pt idx="15">
                  <c:v>13</c:v>
                </c:pt>
                <c:pt idx="16">
                  <c:v>13.2</c:v>
                </c:pt>
                <c:pt idx="17">
                  <c:v>13.4</c:v>
                </c:pt>
                <c:pt idx="18">
                  <c:v>13.6</c:v>
                </c:pt>
                <c:pt idx="19">
                  <c:v>13.8</c:v>
                </c:pt>
                <c:pt idx="20">
                  <c:v>14</c:v>
                </c:pt>
                <c:pt idx="21">
                  <c:v>14.2</c:v>
                </c:pt>
                <c:pt idx="22">
                  <c:v>14.4</c:v>
                </c:pt>
                <c:pt idx="23">
                  <c:v>14.6</c:v>
                </c:pt>
                <c:pt idx="24">
                  <c:v>14.8</c:v>
                </c:pt>
                <c:pt idx="25">
                  <c:v>15</c:v>
                </c:pt>
                <c:pt idx="26">
                  <c:v>15.2</c:v>
                </c:pt>
                <c:pt idx="27">
                  <c:v>15.4</c:v>
                </c:pt>
                <c:pt idx="28">
                  <c:v>15.6</c:v>
                </c:pt>
                <c:pt idx="29">
                  <c:v>15.8</c:v>
                </c:pt>
                <c:pt idx="30">
                  <c:v>16</c:v>
                </c:pt>
                <c:pt idx="31">
                  <c:v>16.2</c:v>
                </c:pt>
                <c:pt idx="32">
                  <c:v>16.399999999999999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17</c:v>
                </c:pt>
                <c:pt idx="36">
                  <c:v>17.2</c:v>
                </c:pt>
                <c:pt idx="37">
                  <c:v>17.399999999999999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18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19</c:v>
                </c:pt>
                <c:pt idx="46">
                  <c:v>19.2</c:v>
                </c:pt>
                <c:pt idx="47">
                  <c:v>19.399999999999999</c:v>
                </c:pt>
                <c:pt idx="48">
                  <c:v>19.600000000000001</c:v>
                </c:pt>
                <c:pt idx="49">
                  <c:v>19.7</c:v>
                </c:pt>
                <c:pt idx="50">
                  <c:v>20</c:v>
                </c:pt>
                <c:pt idx="51">
                  <c:v>20.2</c:v>
                </c:pt>
                <c:pt idx="52">
                  <c:v>20.399999999999999</c:v>
                </c:pt>
                <c:pt idx="53">
                  <c:v>20.6</c:v>
                </c:pt>
                <c:pt idx="54">
                  <c:v>20.7</c:v>
                </c:pt>
                <c:pt idx="55">
                  <c:v>21</c:v>
                </c:pt>
                <c:pt idx="56">
                  <c:v>21.2</c:v>
                </c:pt>
                <c:pt idx="57">
                  <c:v>21.4</c:v>
                </c:pt>
                <c:pt idx="58">
                  <c:v>21.6</c:v>
                </c:pt>
                <c:pt idx="59">
                  <c:v>21.7</c:v>
                </c:pt>
                <c:pt idx="60">
                  <c:v>22</c:v>
                </c:pt>
                <c:pt idx="61">
                  <c:v>22.2</c:v>
                </c:pt>
                <c:pt idx="62">
                  <c:v>22.4</c:v>
                </c:pt>
                <c:pt idx="63">
                  <c:v>22.6</c:v>
                </c:pt>
                <c:pt idx="64">
                  <c:v>22.7</c:v>
                </c:pt>
                <c:pt idx="65">
                  <c:v>23</c:v>
                </c:pt>
                <c:pt idx="66">
                  <c:v>23.2</c:v>
                </c:pt>
                <c:pt idx="67">
                  <c:v>23.4</c:v>
                </c:pt>
                <c:pt idx="68">
                  <c:v>23.6</c:v>
                </c:pt>
                <c:pt idx="69">
                  <c:v>23.8</c:v>
                </c:pt>
                <c:pt idx="70">
                  <c:v>24</c:v>
                </c:pt>
                <c:pt idx="71">
                  <c:v>24.2</c:v>
                </c:pt>
                <c:pt idx="72">
                  <c:v>24.4</c:v>
                </c:pt>
                <c:pt idx="73">
                  <c:v>24.6</c:v>
                </c:pt>
                <c:pt idx="74">
                  <c:v>24.8</c:v>
                </c:pt>
                <c:pt idx="75">
                  <c:v>25</c:v>
                </c:pt>
                <c:pt idx="76">
                  <c:v>25.2</c:v>
                </c:pt>
                <c:pt idx="77">
                  <c:v>25.4</c:v>
                </c:pt>
                <c:pt idx="78">
                  <c:v>25.6</c:v>
                </c:pt>
                <c:pt idx="79">
                  <c:v>25.8</c:v>
                </c:pt>
                <c:pt idx="80">
                  <c:v>26</c:v>
                </c:pt>
                <c:pt idx="81">
                  <c:v>26.2</c:v>
                </c:pt>
                <c:pt idx="82">
                  <c:v>26.4</c:v>
                </c:pt>
                <c:pt idx="83">
                  <c:v>26.6</c:v>
                </c:pt>
                <c:pt idx="84">
                  <c:v>26.8</c:v>
                </c:pt>
                <c:pt idx="85">
                  <c:v>27</c:v>
                </c:pt>
                <c:pt idx="86">
                  <c:v>27.2</c:v>
                </c:pt>
                <c:pt idx="87">
                  <c:v>27.4</c:v>
                </c:pt>
                <c:pt idx="88">
                  <c:v>27.6</c:v>
                </c:pt>
                <c:pt idx="89">
                  <c:v>27.8</c:v>
                </c:pt>
                <c:pt idx="90">
                  <c:v>28</c:v>
                </c:pt>
                <c:pt idx="91">
                  <c:v>28.2</c:v>
                </c:pt>
                <c:pt idx="92">
                  <c:v>28.4</c:v>
                </c:pt>
                <c:pt idx="93">
                  <c:v>28.6</c:v>
                </c:pt>
                <c:pt idx="94">
                  <c:v>28.8</c:v>
                </c:pt>
                <c:pt idx="95">
                  <c:v>29</c:v>
                </c:pt>
                <c:pt idx="96">
                  <c:v>29.2</c:v>
                </c:pt>
                <c:pt idx="97">
                  <c:v>29.4</c:v>
                </c:pt>
                <c:pt idx="98">
                  <c:v>29.6</c:v>
                </c:pt>
                <c:pt idx="99">
                  <c:v>29.8</c:v>
                </c:pt>
                <c:pt idx="100">
                  <c:v>30</c:v>
                </c:pt>
                <c:pt idx="101">
                  <c:v>30.2</c:v>
                </c:pt>
                <c:pt idx="102">
                  <c:v>30.4</c:v>
                </c:pt>
                <c:pt idx="103">
                  <c:v>30.6</c:v>
                </c:pt>
                <c:pt idx="104">
                  <c:v>30.8</c:v>
                </c:pt>
                <c:pt idx="105">
                  <c:v>31</c:v>
                </c:pt>
                <c:pt idx="106">
                  <c:v>31.2</c:v>
                </c:pt>
                <c:pt idx="107">
                  <c:v>31.4</c:v>
                </c:pt>
                <c:pt idx="108">
                  <c:v>31.6</c:v>
                </c:pt>
                <c:pt idx="109">
                  <c:v>31.8</c:v>
                </c:pt>
                <c:pt idx="110">
                  <c:v>32</c:v>
                </c:pt>
                <c:pt idx="111">
                  <c:v>32.200000000000003</c:v>
                </c:pt>
                <c:pt idx="112">
                  <c:v>32.4</c:v>
                </c:pt>
                <c:pt idx="113">
                  <c:v>32.5</c:v>
                </c:pt>
                <c:pt idx="114">
                  <c:v>32.799999999999997</c:v>
                </c:pt>
                <c:pt idx="115">
                  <c:v>33</c:v>
                </c:pt>
                <c:pt idx="116">
                  <c:v>33.200000000000003</c:v>
                </c:pt>
                <c:pt idx="117">
                  <c:v>33.4</c:v>
                </c:pt>
                <c:pt idx="118">
                  <c:v>33.5</c:v>
                </c:pt>
                <c:pt idx="119">
                  <c:v>33.799999999999997</c:v>
                </c:pt>
                <c:pt idx="120">
                  <c:v>34</c:v>
                </c:pt>
                <c:pt idx="121">
                  <c:v>34.200000000000003</c:v>
                </c:pt>
                <c:pt idx="122">
                  <c:v>34.4</c:v>
                </c:pt>
                <c:pt idx="123">
                  <c:v>34.5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35.200000000000003</c:v>
                </c:pt>
                <c:pt idx="127">
                  <c:v>35.4</c:v>
                </c:pt>
                <c:pt idx="128">
                  <c:v>35.5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36.200000000000003</c:v>
                </c:pt>
                <c:pt idx="132">
                  <c:v>36.4</c:v>
                </c:pt>
                <c:pt idx="133">
                  <c:v>36.5</c:v>
                </c:pt>
                <c:pt idx="134">
                  <c:v>36.799999999999997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37.799999999999997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38.5</c:v>
                </c:pt>
                <c:pt idx="144">
                  <c:v>38.799999999999997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39.5</c:v>
                </c:pt>
                <c:pt idx="149">
                  <c:v>39.799999999999997</c:v>
                </c:pt>
                <c:pt idx="150">
                  <c:v>40</c:v>
                </c:pt>
              </c:numCache>
            </c:numRef>
          </c:xVal>
          <c:yVal>
            <c:numRef>
              <c:f>'All Trials'!$AK$4:$AK$154</c:f>
              <c:numCache>
                <c:formatCode>0.0000</c:formatCode>
                <c:ptCount val="151"/>
                <c:pt idx="0">
                  <c:v>1.5</c:v>
                </c:pt>
                <c:pt idx="1">
                  <c:v>0.16666666666666666</c:v>
                </c:pt>
                <c:pt idx="2">
                  <c:v>0.83333333333333337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0.66666666666666663</c:v>
                </c:pt>
                <c:pt idx="7">
                  <c:v>1.8333333333333333</c:v>
                </c:pt>
                <c:pt idx="8">
                  <c:v>1</c:v>
                </c:pt>
                <c:pt idx="9">
                  <c:v>1</c:v>
                </c:pt>
                <c:pt idx="10">
                  <c:v>1.1666666666666667</c:v>
                </c:pt>
                <c:pt idx="11">
                  <c:v>0.16666666666666666</c:v>
                </c:pt>
                <c:pt idx="12">
                  <c:v>1.3333333333333333</c:v>
                </c:pt>
                <c:pt idx="13">
                  <c:v>0.66666666666666663</c:v>
                </c:pt>
                <c:pt idx="14">
                  <c:v>0.16666666666666666</c:v>
                </c:pt>
                <c:pt idx="15">
                  <c:v>1.1666666666666667</c:v>
                </c:pt>
                <c:pt idx="16">
                  <c:v>0.16666666666666666</c:v>
                </c:pt>
                <c:pt idx="17">
                  <c:v>1</c:v>
                </c:pt>
                <c:pt idx="18">
                  <c:v>0.66666666666666663</c:v>
                </c:pt>
                <c:pt idx="19">
                  <c:v>0.33333333333333331</c:v>
                </c:pt>
                <c:pt idx="20">
                  <c:v>0.33333333333333331</c:v>
                </c:pt>
                <c:pt idx="21">
                  <c:v>1.5</c:v>
                </c:pt>
                <c:pt idx="22">
                  <c:v>1</c:v>
                </c:pt>
                <c:pt idx="23">
                  <c:v>1</c:v>
                </c:pt>
                <c:pt idx="24">
                  <c:v>1.6666666666666667</c:v>
                </c:pt>
                <c:pt idx="25">
                  <c:v>3.1666666666666665</c:v>
                </c:pt>
                <c:pt idx="26">
                  <c:v>7.333333333333333</c:v>
                </c:pt>
                <c:pt idx="27">
                  <c:v>8</c:v>
                </c:pt>
                <c:pt idx="28">
                  <c:v>11.833333333333334</c:v>
                </c:pt>
                <c:pt idx="29">
                  <c:v>11.5</c:v>
                </c:pt>
                <c:pt idx="30">
                  <c:v>16.666666666666668</c:v>
                </c:pt>
                <c:pt idx="31">
                  <c:v>17.333333333333332</c:v>
                </c:pt>
                <c:pt idx="32">
                  <c:v>20.333333333333332</c:v>
                </c:pt>
                <c:pt idx="33">
                  <c:v>24.333333333333332</c:v>
                </c:pt>
                <c:pt idx="34">
                  <c:v>24.166666666666668</c:v>
                </c:pt>
                <c:pt idx="35">
                  <c:v>21.833333333333332</c:v>
                </c:pt>
                <c:pt idx="36">
                  <c:v>29.833333333333332</c:v>
                </c:pt>
                <c:pt idx="37">
                  <c:v>34.833333333333336</c:v>
                </c:pt>
                <c:pt idx="38">
                  <c:v>34.833333333333336</c:v>
                </c:pt>
                <c:pt idx="39">
                  <c:v>33.666666666666664</c:v>
                </c:pt>
                <c:pt idx="40">
                  <c:v>37.333333333333336</c:v>
                </c:pt>
                <c:pt idx="41">
                  <c:v>38.5</c:v>
                </c:pt>
                <c:pt idx="42">
                  <c:v>40.166666666666664</c:v>
                </c:pt>
                <c:pt idx="43">
                  <c:v>38.666666666666664</c:v>
                </c:pt>
                <c:pt idx="44">
                  <c:v>40.666666666666664</c:v>
                </c:pt>
                <c:pt idx="45">
                  <c:v>41</c:v>
                </c:pt>
                <c:pt idx="46">
                  <c:v>45.833333333333336</c:v>
                </c:pt>
                <c:pt idx="47">
                  <c:v>47</c:v>
                </c:pt>
                <c:pt idx="48">
                  <c:v>46.5</c:v>
                </c:pt>
                <c:pt idx="49">
                  <c:v>42</c:v>
                </c:pt>
                <c:pt idx="50">
                  <c:v>55.833333333333336</c:v>
                </c:pt>
                <c:pt idx="51">
                  <c:v>43</c:v>
                </c:pt>
                <c:pt idx="52">
                  <c:v>51.166666666666664</c:v>
                </c:pt>
                <c:pt idx="53">
                  <c:v>56.166666666666664</c:v>
                </c:pt>
                <c:pt idx="54">
                  <c:v>56.166666666666664</c:v>
                </c:pt>
                <c:pt idx="55">
                  <c:v>54.5</c:v>
                </c:pt>
                <c:pt idx="56">
                  <c:v>57.666666666666664</c:v>
                </c:pt>
                <c:pt idx="57">
                  <c:v>55.333333333333336</c:v>
                </c:pt>
                <c:pt idx="58">
                  <c:v>60.833333333333336</c:v>
                </c:pt>
                <c:pt idx="59">
                  <c:v>59</c:v>
                </c:pt>
                <c:pt idx="60">
                  <c:v>58.666666666666664</c:v>
                </c:pt>
                <c:pt idx="61">
                  <c:v>54</c:v>
                </c:pt>
                <c:pt idx="62">
                  <c:v>63.5</c:v>
                </c:pt>
                <c:pt idx="63">
                  <c:v>57</c:v>
                </c:pt>
                <c:pt idx="64">
                  <c:v>60.833333333333336</c:v>
                </c:pt>
                <c:pt idx="65">
                  <c:v>60.666666666666664</c:v>
                </c:pt>
                <c:pt idx="66">
                  <c:v>64.5</c:v>
                </c:pt>
                <c:pt idx="67">
                  <c:v>63.833333333333336</c:v>
                </c:pt>
                <c:pt idx="68">
                  <c:v>62.166666666666664</c:v>
                </c:pt>
                <c:pt idx="69">
                  <c:v>65.666666666666671</c:v>
                </c:pt>
                <c:pt idx="70">
                  <c:v>60</c:v>
                </c:pt>
                <c:pt idx="71">
                  <c:v>55.333333333333336</c:v>
                </c:pt>
                <c:pt idx="72">
                  <c:v>63.166666666666664</c:v>
                </c:pt>
                <c:pt idx="73">
                  <c:v>56.166666666666664</c:v>
                </c:pt>
                <c:pt idx="74">
                  <c:v>54.833333333333336</c:v>
                </c:pt>
                <c:pt idx="75">
                  <c:v>57.833333333333336</c:v>
                </c:pt>
                <c:pt idx="76">
                  <c:v>58.833333333333336</c:v>
                </c:pt>
                <c:pt idx="77">
                  <c:v>60</c:v>
                </c:pt>
                <c:pt idx="78">
                  <c:v>62.5</c:v>
                </c:pt>
                <c:pt idx="79">
                  <c:v>58.666666666666664</c:v>
                </c:pt>
                <c:pt idx="80">
                  <c:v>64</c:v>
                </c:pt>
                <c:pt idx="81">
                  <c:v>55.666666666666664</c:v>
                </c:pt>
                <c:pt idx="82">
                  <c:v>54.833333333333336</c:v>
                </c:pt>
                <c:pt idx="83">
                  <c:v>52.333333333333336</c:v>
                </c:pt>
                <c:pt idx="84">
                  <c:v>53.666666666666664</c:v>
                </c:pt>
                <c:pt idx="85">
                  <c:v>54.166666666666664</c:v>
                </c:pt>
                <c:pt idx="86">
                  <c:v>51.833333333333336</c:v>
                </c:pt>
                <c:pt idx="87">
                  <c:v>46.5</c:v>
                </c:pt>
                <c:pt idx="88">
                  <c:v>45.333333333333336</c:v>
                </c:pt>
                <c:pt idx="89">
                  <c:v>35.833333333333336</c:v>
                </c:pt>
                <c:pt idx="90">
                  <c:v>39.166666666666664</c:v>
                </c:pt>
                <c:pt idx="91">
                  <c:v>38.833333333333336</c:v>
                </c:pt>
                <c:pt idx="92">
                  <c:v>35.5</c:v>
                </c:pt>
                <c:pt idx="93">
                  <c:v>36.666666666666664</c:v>
                </c:pt>
                <c:pt idx="94">
                  <c:v>34</c:v>
                </c:pt>
                <c:pt idx="95">
                  <c:v>38.5</c:v>
                </c:pt>
                <c:pt idx="96">
                  <c:v>36.833333333333336</c:v>
                </c:pt>
                <c:pt idx="97">
                  <c:v>34</c:v>
                </c:pt>
                <c:pt idx="98">
                  <c:v>29.333333333333332</c:v>
                </c:pt>
                <c:pt idx="99">
                  <c:v>33</c:v>
                </c:pt>
                <c:pt idx="100">
                  <c:v>36.5</c:v>
                </c:pt>
                <c:pt idx="101">
                  <c:v>35.166666666666664</c:v>
                </c:pt>
                <c:pt idx="102">
                  <c:v>31</c:v>
                </c:pt>
                <c:pt idx="103">
                  <c:v>26.833333333333332</c:v>
                </c:pt>
                <c:pt idx="104">
                  <c:v>31.333333333333332</c:v>
                </c:pt>
                <c:pt idx="105">
                  <c:v>32.5</c:v>
                </c:pt>
                <c:pt idx="106">
                  <c:v>30.166666666666668</c:v>
                </c:pt>
                <c:pt idx="107">
                  <c:v>33.666666666666664</c:v>
                </c:pt>
                <c:pt idx="108">
                  <c:v>29.333333333333332</c:v>
                </c:pt>
                <c:pt idx="109">
                  <c:v>29</c:v>
                </c:pt>
                <c:pt idx="110">
                  <c:v>26.166666666666668</c:v>
                </c:pt>
                <c:pt idx="111">
                  <c:v>25.166666666666668</c:v>
                </c:pt>
                <c:pt idx="112">
                  <c:v>27.5</c:v>
                </c:pt>
                <c:pt idx="113">
                  <c:v>26.5</c:v>
                </c:pt>
                <c:pt idx="114">
                  <c:v>30.5</c:v>
                </c:pt>
                <c:pt idx="115">
                  <c:v>25.833333333333332</c:v>
                </c:pt>
                <c:pt idx="116">
                  <c:v>25.166666666666668</c:v>
                </c:pt>
                <c:pt idx="117">
                  <c:v>22.333333333333332</c:v>
                </c:pt>
                <c:pt idx="118">
                  <c:v>22.833333333333332</c:v>
                </c:pt>
                <c:pt idx="119">
                  <c:v>23</c:v>
                </c:pt>
                <c:pt idx="120">
                  <c:v>27</c:v>
                </c:pt>
                <c:pt idx="121">
                  <c:v>23</c:v>
                </c:pt>
                <c:pt idx="122">
                  <c:v>18.833333333333332</c:v>
                </c:pt>
                <c:pt idx="123">
                  <c:v>24.166666666666668</c:v>
                </c:pt>
                <c:pt idx="124">
                  <c:v>20.166666666666668</c:v>
                </c:pt>
                <c:pt idx="125">
                  <c:v>22.666666666666668</c:v>
                </c:pt>
                <c:pt idx="126">
                  <c:v>20.333333333333332</c:v>
                </c:pt>
                <c:pt idx="127">
                  <c:v>21.666666666666668</c:v>
                </c:pt>
                <c:pt idx="128">
                  <c:v>20.166666666666668</c:v>
                </c:pt>
                <c:pt idx="129">
                  <c:v>16.666666666666668</c:v>
                </c:pt>
                <c:pt idx="130">
                  <c:v>18.666666666666668</c:v>
                </c:pt>
                <c:pt idx="131">
                  <c:v>19.166666666666668</c:v>
                </c:pt>
                <c:pt idx="132">
                  <c:v>19.5</c:v>
                </c:pt>
                <c:pt idx="133">
                  <c:v>19.333333333333332</c:v>
                </c:pt>
                <c:pt idx="134">
                  <c:v>16.666666666666668</c:v>
                </c:pt>
                <c:pt idx="135">
                  <c:v>14.833333333333334</c:v>
                </c:pt>
                <c:pt idx="136">
                  <c:v>14.333333333333334</c:v>
                </c:pt>
                <c:pt idx="137">
                  <c:v>11.166666666666666</c:v>
                </c:pt>
                <c:pt idx="138">
                  <c:v>13.833333333333334</c:v>
                </c:pt>
                <c:pt idx="139">
                  <c:v>18.666666666666668</c:v>
                </c:pt>
                <c:pt idx="140">
                  <c:v>16.5</c:v>
                </c:pt>
                <c:pt idx="141">
                  <c:v>18.5</c:v>
                </c:pt>
                <c:pt idx="142">
                  <c:v>18.666666666666668</c:v>
                </c:pt>
                <c:pt idx="143">
                  <c:v>17</c:v>
                </c:pt>
                <c:pt idx="144">
                  <c:v>15.333333333333334</c:v>
                </c:pt>
                <c:pt idx="145">
                  <c:v>12.666666666666666</c:v>
                </c:pt>
                <c:pt idx="146">
                  <c:v>14.666666666666666</c:v>
                </c:pt>
                <c:pt idx="147">
                  <c:v>13.166666666666666</c:v>
                </c:pt>
                <c:pt idx="148">
                  <c:v>11.166666666666666</c:v>
                </c:pt>
                <c:pt idx="149">
                  <c:v>14</c:v>
                </c:pt>
                <c:pt idx="15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3-4161-9765-8F6815FA891C}"/>
            </c:ext>
          </c:extLst>
        </c:ser>
        <c:ser>
          <c:idx val="1"/>
          <c:order val="1"/>
          <c:tx>
            <c:strRef>
              <c:f>'All Trials'!$AL$3</c:f>
              <c:strCache>
                <c:ptCount val="1"/>
                <c:pt idx="0">
                  <c:v>30 kV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'All Trials'!$AE$4:$AE$154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12.8</c:v>
                </c:pt>
                <c:pt idx="15">
                  <c:v>13</c:v>
                </c:pt>
                <c:pt idx="16">
                  <c:v>13.2</c:v>
                </c:pt>
                <c:pt idx="17">
                  <c:v>13.4</c:v>
                </c:pt>
                <c:pt idx="18">
                  <c:v>13.6</c:v>
                </c:pt>
                <c:pt idx="19">
                  <c:v>13.8</c:v>
                </c:pt>
                <c:pt idx="20">
                  <c:v>14</c:v>
                </c:pt>
                <c:pt idx="21">
                  <c:v>14.2</c:v>
                </c:pt>
                <c:pt idx="22">
                  <c:v>14.4</c:v>
                </c:pt>
                <c:pt idx="23">
                  <c:v>14.6</c:v>
                </c:pt>
                <c:pt idx="24">
                  <c:v>14.8</c:v>
                </c:pt>
                <c:pt idx="25">
                  <c:v>15</c:v>
                </c:pt>
                <c:pt idx="26">
                  <c:v>15.2</c:v>
                </c:pt>
                <c:pt idx="27">
                  <c:v>15.4</c:v>
                </c:pt>
                <c:pt idx="28">
                  <c:v>15.6</c:v>
                </c:pt>
                <c:pt idx="29">
                  <c:v>15.8</c:v>
                </c:pt>
                <c:pt idx="30">
                  <c:v>16</c:v>
                </c:pt>
                <c:pt idx="31">
                  <c:v>16.2</c:v>
                </c:pt>
                <c:pt idx="32">
                  <c:v>16.399999999999999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17</c:v>
                </c:pt>
                <c:pt idx="36">
                  <c:v>17.2</c:v>
                </c:pt>
                <c:pt idx="37">
                  <c:v>17.399999999999999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18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19</c:v>
                </c:pt>
                <c:pt idx="46">
                  <c:v>19.2</c:v>
                </c:pt>
                <c:pt idx="47">
                  <c:v>19.399999999999999</c:v>
                </c:pt>
                <c:pt idx="48">
                  <c:v>19.600000000000001</c:v>
                </c:pt>
                <c:pt idx="49">
                  <c:v>19.7</c:v>
                </c:pt>
                <c:pt idx="50">
                  <c:v>20</c:v>
                </c:pt>
                <c:pt idx="51">
                  <c:v>20.2</c:v>
                </c:pt>
                <c:pt idx="52">
                  <c:v>20.399999999999999</c:v>
                </c:pt>
                <c:pt idx="53">
                  <c:v>20.6</c:v>
                </c:pt>
                <c:pt idx="54">
                  <c:v>20.7</c:v>
                </c:pt>
                <c:pt idx="55">
                  <c:v>21</c:v>
                </c:pt>
                <c:pt idx="56">
                  <c:v>21.2</c:v>
                </c:pt>
                <c:pt idx="57">
                  <c:v>21.4</c:v>
                </c:pt>
                <c:pt idx="58">
                  <c:v>21.6</c:v>
                </c:pt>
                <c:pt idx="59">
                  <c:v>21.7</c:v>
                </c:pt>
                <c:pt idx="60">
                  <c:v>22</c:v>
                </c:pt>
                <c:pt idx="61">
                  <c:v>22.2</c:v>
                </c:pt>
                <c:pt idx="62">
                  <c:v>22.4</c:v>
                </c:pt>
                <c:pt idx="63">
                  <c:v>22.6</c:v>
                </c:pt>
                <c:pt idx="64">
                  <c:v>22.7</c:v>
                </c:pt>
                <c:pt idx="65">
                  <c:v>23</c:v>
                </c:pt>
                <c:pt idx="66">
                  <c:v>23.2</c:v>
                </c:pt>
                <c:pt idx="67">
                  <c:v>23.4</c:v>
                </c:pt>
                <c:pt idx="68">
                  <c:v>23.6</c:v>
                </c:pt>
                <c:pt idx="69">
                  <c:v>23.8</c:v>
                </c:pt>
                <c:pt idx="70">
                  <c:v>24</c:v>
                </c:pt>
                <c:pt idx="71">
                  <c:v>24.2</c:v>
                </c:pt>
                <c:pt idx="72">
                  <c:v>24.4</c:v>
                </c:pt>
                <c:pt idx="73">
                  <c:v>24.6</c:v>
                </c:pt>
                <c:pt idx="74">
                  <c:v>24.8</c:v>
                </c:pt>
                <c:pt idx="75">
                  <c:v>25</c:v>
                </c:pt>
                <c:pt idx="76">
                  <c:v>25.2</c:v>
                </c:pt>
                <c:pt idx="77">
                  <c:v>25.4</c:v>
                </c:pt>
                <c:pt idx="78">
                  <c:v>25.6</c:v>
                </c:pt>
                <c:pt idx="79">
                  <c:v>25.8</c:v>
                </c:pt>
                <c:pt idx="80">
                  <c:v>26</c:v>
                </c:pt>
                <c:pt idx="81">
                  <c:v>26.2</c:v>
                </c:pt>
                <c:pt idx="82">
                  <c:v>26.4</c:v>
                </c:pt>
                <c:pt idx="83">
                  <c:v>26.6</c:v>
                </c:pt>
                <c:pt idx="84">
                  <c:v>26.8</c:v>
                </c:pt>
                <c:pt idx="85">
                  <c:v>27</c:v>
                </c:pt>
                <c:pt idx="86">
                  <c:v>27.2</c:v>
                </c:pt>
                <c:pt idx="87">
                  <c:v>27.4</c:v>
                </c:pt>
                <c:pt idx="88">
                  <c:v>27.6</c:v>
                </c:pt>
                <c:pt idx="89">
                  <c:v>27.8</c:v>
                </c:pt>
                <c:pt idx="90">
                  <c:v>28</c:v>
                </c:pt>
                <c:pt idx="91">
                  <c:v>28.2</c:v>
                </c:pt>
                <c:pt idx="92">
                  <c:v>28.4</c:v>
                </c:pt>
                <c:pt idx="93">
                  <c:v>28.6</c:v>
                </c:pt>
                <c:pt idx="94">
                  <c:v>28.8</c:v>
                </c:pt>
                <c:pt idx="95">
                  <c:v>29</c:v>
                </c:pt>
                <c:pt idx="96">
                  <c:v>29.2</c:v>
                </c:pt>
                <c:pt idx="97">
                  <c:v>29.4</c:v>
                </c:pt>
                <c:pt idx="98">
                  <c:v>29.6</c:v>
                </c:pt>
                <c:pt idx="99">
                  <c:v>29.8</c:v>
                </c:pt>
                <c:pt idx="100">
                  <c:v>30</c:v>
                </c:pt>
                <c:pt idx="101">
                  <c:v>30.2</c:v>
                </c:pt>
                <c:pt idx="102">
                  <c:v>30.4</c:v>
                </c:pt>
                <c:pt idx="103">
                  <c:v>30.6</c:v>
                </c:pt>
                <c:pt idx="104">
                  <c:v>30.8</c:v>
                </c:pt>
                <c:pt idx="105">
                  <c:v>31</c:v>
                </c:pt>
                <c:pt idx="106">
                  <c:v>31.2</c:v>
                </c:pt>
                <c:pt idx="107">
                  <c:v>31.4</c:v>
                </c:pt>
                <c:pt idx="108">
                  <c:v>31.6</c:v>
                </c:pt>
                <c:pt idx="109">
                  <c:v>31.8</c:v>
                </c:pt>
                <c:pt idx="110">
                  <c:v>32</c:v>
                </c:pt>
                <c:pt idx="111">
                  <c:v>32.200000000000003</c:v>
                </c:pt>
                <c:pt idx="112">
                  <c:v>32.4</c:v>
                </c:pt>
                <c:pt idx="113">
                  <c:v>32.5</c:v>
                </c:pt>
                <c:pt idx="114">
                  <c:v>32.799999999999997</c:v>
                </c:pt>
                <c:pt idx="115">
                  <c:v>33</c:v>
                </c:pt>
                <c:pt idx="116">
                  <c:v>33.200000000000003</c:v>
                </c:pt>
                <c:pt idx="117">
                  <c:v>33.4</c:v>
                </c:pt>
                <c:pt idx="118">
                  <c:v>33.5</c:v>
                </c:pt>
                <c:pt idx="119">
                  <c:v>33.799999999999997</c:v>
                </c:pt>
                <c:pt idx="120">
                  <c:v>34</c:v>
                </c:pt>
                <c:pt idx="121">
                  <c:v>34.200000000000003</c:v>
                </c:pt>
                <c:pt idx="122">
                  <c:v>34.4</c:v>
                </c:pt>
                <c:pt idx="123">
                  <c:v>34.5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35.200000000000003</c:v>
                </c:pt>
                <c:pt idx="127">
                  <c:v>35.4</c:v>
                </c:pt>
                <c:pt idx="128">
                  <c:v>35.5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36.200000000000003</c:v>
                </c:pt>
                <c:pt idx="132">
                  <c:v>36.4</c:v>
                </c:pt>
                <c:pt idx="133">
                  <c:v>36.5</c:v>
                </c:pt>
                <c:pt idx="134">
                  <c:v>36.799999999999997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37.799999999999997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38.5</c:v>
                </c:pt>
                <c:pt idx="144">
                  <c:v>38.799999999999997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39.5</c:v>
                </c:pt>
                <c:pt idx="149">
                  <c:v>39.799999999999997</c:v>
                </c:pt>
                <c:pt idx="150">
                  <c:v>40</c:v>
                </c:pt>
              </c:numCache>
            </c:numRef>
          </c:xVal>
          <c:yVal>
            <c:numRef>
              <c:f>'All Trials'!$AL$4:$AL$154</c:f>
              <c:numCache>
                <c:formatCode>0.0000</c:formatCode>
                <c:ptCount val="151"/>
                <c:pt idx="0">
                  <c:v>1.1666666666666667</c:v>
                </c:pt>
                <c:pt idx="1">
                  <c:v>1.1666666666666667</c:v>
                </c:pt>
                <c:pt idx="2">
                  <c:v>1.1666666666666667</c:v>
                </c:pt>
                <c:pt idx="3">
                  <c:v>1.5</c:v>
                </c:pt>
                <c:pt idx="4">
                  <c:v>1.5</c:v>
                </c:pt>
                <c:pt idx="5">
                  <c:v>1.1666666666666667</c:v>
                </c:pt>
                <c:pt idx="6">
                  <c:v>2.1666666666666665</c:v>
                </c:pt>
                <c:pt idx="7">
                  <c:v>1</c:v>
                </c:pt>
                <c:pt idx="8">
                  <c:v>0.83333333333333337</c:v>
                </c:pt>
                <c:pt idx="9">
                  <c:v>1</c:v>
                </c:pt>
                <c:pt idx="10">
                  <c:v>3.3333333333333335</c:v>
                </c:pt>
                <c:pt idx="11">
                  <c:v>2.8333333333333335</c:v>
                </c:pt>
                <c:pt idx="12">
                  <c:v>3.1666666666666665</c:v>
                </c:pt>
                <c:pt idx="13">
                  <c:v>5</c:v>
                </c:pt>
                <c:pt idx="14">
                  <c:v>6</c:v>
                </c:pt>
                <c:pt idx="15">
                  <c:v>8.8333333333333339</c:v>
                </c:pt>
                <c:pt idx="16">
                  <c:v>11.333333333333334</c:v>
                </c:pt>
                <c:pt idx="17">
                  <c:v>14.333333333333334</c:v>
                </c:pt>
                <c:pt idx="18">
                  <c:v>17.333333333333332</c:v>
                </c:pt>
                <c:pt idx="19">
                  <c:v>19.5</c:v>
                </c:pt>
                <c:pt idx="20">
                  <c:v>22.333333333333332</c:v>
                </c:pt>
                <c:pt idx="21">
                  <c:v>25.333333333333332</c:v>
                </c:pt>
                <c:pt idx="22">
                  <c:v>25</c:v>
                </c:pt>
                <c:pt idx="23">
                  <c:v>30.5</c:v>
                </c:pt>
                <c:pt idx="24">
                  <c:v>32.666666666666664</c:v>
                </c:pt>
                <c:pt idx="25">
                  <c:v>32.333333333333336</c:v>
                </c:pt>
                <c:pt idx="26">
                  <c:v>35.166666666666664</c:v>
                </c:pt>
                <c:pt idx="27">
                  <c:v>40.5</c:v>
                </c:pt>
                <c:pt idx="28">
                  <c:v>40.5</c:v>
                </c:pt>
                <c:pt idx="29">
                  <c:v>49.333333333333336</c:v>
                </c:pt>
                <c:pt idx="30">
                  <c:v>38</c:v>
                </c:pt>
                <c:pt idx="31">
                  <c:v>49.166666666666664</c:v>
                </c:pt>
                <c:pt idx="32">
                  <c:v>59.833333333333336</c:v>
                </c:pt>
                <c:pt idx="33">
                  <c:v>56.166666666666664</c:v>
                </c:pt>
                <c:pt idx="34">
                  <c:v>60</c:v>
                </c:pt>
                <c:pt idx="35">
                  <c:v>60.5</c:v>
                </c:pt>
                <c:pt idx="36">
                  <c:v>58.166666666666664</c:v>
                </c:pt>
                <c:pt idx="37">
                  <c:v>60.166666666666664</c:v>
                </c:pt>
                <c:pt idx="38">
                  <c:v>64.833333333333329</c:v>
                </c:pt>
                <c:pt idx="39">
                  <c:v>68</c:v>
                </c:pt>
                <c:pt idx="40">
                  <c:v>67</c:v>
                </c:pt>
                <c:pt idx="41">
                  <c:v>70.833333333333329</c:v>
                </c:pt>
                <c:pt idx="42">
                  <c:v>70.666666666666671</c:v>
                </c:pt>
                <c:pt idx="43">
                  <c:v>73.833333333333329</c:v>
                </c:pt>
                <c:pt idx="44">
                  <c:v>71.5</c:v>
                </c:pt>
                <c:pt idx="45">
                  <c:v>74.166666666666671</c:v>
                </c:pt>
                <c:pt idx="46">
                  <c:v>82.833333333333329</c:v>
                </c:pt>
                <c:pt idx="47">
                  <c:v>75.5</c:v>
                </c:pt>
                <c:pt idx="48">
                  <c:v>88.333333333333329</c:v>
                </c:pt>
                <c:pt idx="49">
                  <c:v>74.5</c:v>
                </c:pt>
                <c:pt idx="50">
                  <c:v>78.666666666666671</c:v>
                </c:pt>
                <c:pt idx="51">
                  <c:v>78.5</c:v>
                </c:pt>
                <c:pt idx="52">
                  <c:v>88.833333333333329</c:v>
                </c:pt>
                <c:pt idx="53">
                  <c:v>81.833333333333329</c:v>
                </c:pt>
                <c:pt idx="54">
                  <c:v>89</c:v>
                </c:pt>
                <c:pt idx="55">
                  <c:v>90.833333333333329</c:v>
                </c:pt>
                <c:pt idx="56">
                  <c:v>88</c:v>
                </c:pt>
                <c:pt idx="57">
                  <c:v>81.666666666666671</c:v>
                </c:pt>
                <c:pt idx="58">
                  <c:v>82</c:v>
                </c:pt>
                <c:pt idx="59">
                  <c:v>88.5</c:v>
                </c:pt>
                <c:pt idx="60">
                  <c:v>87</c:v>
                </c:pt>
                <c:pt idx="61">
                  <c:v>94.5</c:v>
                </c:pt>
                <c:pt idx="62">
                  <c:v>90</c:v>
                </c:pt>
                <c:pt idx="63">
                  <c:v>96.166666666666671</c:v>
                </c:pt>
                <c:pt idx="64">
                  <c:v>85.5</c:v>
                </c:pt>
                <c:pt idx="65">
                  <c:v>87.333333333333329</c:v>
                </c:pt>
                <c:pt idx="66">
                  <c:v>87.166666666666671</c:v>
                </c:pt>
                <c:pt idx="67">
                  <c:v>88.666666666666671</c:v>
                </c:pt>
                <c:pt idx="68">
                  <c:v>89.5</c:v>
                </c:pt>
                <c:pt idx="69">
                  <c:v>82.666666666666671</c:v>
                </c:pt>
                <c:pt idx="70">
                  <c:v>86.333333333333329</c:v>
                </c:pt>
                <c:pt idx="71">
                  <c:v>79.666666666666671</c:v>
                </c:pt>
                <c:pt idx="72">
                  <c:v>78.5</c:v>
                </c:pt>
                <c:pt idx="73">
                  <c:v>86.666666666666671</c:v>
                </c:pt>
                <c:pt idx="74">
                  <c:v>80.166666666666671</c:v>
                </c:pt>
                <c:pt idx="75">
                  <c:v>81.333333333333329</c:v>
                </c:pt>
                <c:pt idx="76">
                  <c:v>88.5</c:v>
                </c:pt>
                <c:pt idx="77">
                  <c:v>83</c:v>
                </c:pt>
                <c:pt idx="78">
                  <c:v>80</c:v>
                </c:pt>
                <c:pt idx="79">
                  <c:v>81.333333333333329</c:v>
                </c:pt>
                <c:pt idx="80">
                  <c:v>84.5</c:v>
                </c:pt>
                <c:pt idx="81">
                  <c:v>75.833333333333329</c:v>
                </c:pt>
                <c:pt idx="82">
                  <c:v>80.5</c:v>
                </c:pt>
                <c:pt idx="83">
                  <c:v>78.5</c:v>
                </c:pt>
                <c:pt idx="84">
                  <c:v>75.666666666666671</c:v>
                </c:pt>
                <c:pt idx="85">
                  <c:v>70.333333333333329</c:v>
                </c:pt>
                <c:pt idx="86">
                  <c:v>59.166666666666664</c:v>
                </c:pt>
                <c:pt idx="87">
                  <c:v>59.333333333333336</c:v>
                </c:pt>
                <c:pt idx="88">
                  <c:v>57.5</c:v>
                </c:pt>
                <c:pt idx="89">
                  <c:v>54.666666666666664</c:v>
                </c:pt>
                <c:pt idx="90">
                  <c:v>52.166666666666664</c:v>
                </c:pt>
                <c:pt idx="91">
                  <c:v>50</c:v>
                </c:pt>
                <c:pt idx="92">
                  <c:v>51.833333333333336</c:v>
                </c:pt>
                <c:pt idx="93">
                  <c:v>45.833333333333336</c:v>
                </c:pt>
                <c:pt idx="94">
                  <c:v>51</c:v>
                </c:pt>
                <c:pt idx="95">
                  <c:v>48.166666666666664</c:v>
                </c:pt>
                <c:pt idx="96">
                  <c:v>44.5</c:v>
                </c:pt>
                <c:pt idx="97">
                  <c:v>43.666666666666664</c:v>
                </c:pt>
                <c:pt idx="98">
                  <c:v>44.666666666666664</c:v>
                </c:pt>
                <c:pt idx="99">
                  <c:v>47.166666666666664</c:v>
                </c:pt>
                <c:pt idx="100">
                  <c:v>41.333333333333336</c:v>
                </c:pt>
                <c:pt idx="101">
                  <c:v>43.666666666666664</c:v>
                </c:pt>
                <c:pt idx="102">
                  <c:v>46.666666666666664</c:v>
                </c:pt>
                <c:pt idx="103">
                  <c:v>36.833333333333336</c:v>
                </c:pt>
                <c:pt idx="104">
                  <c:v>43.666666666666664</c:v>
                </c:pt>
                <c:pt idx="105">
                  <c:v>36</c:v>
                </c:pt>
                <c:pt idx="106">
                  <c:v>36.666666666666664</c:v>
                </c:pt>
                <c:pt idx="107">
                  <c:v>38.333333333333336</c:v>
                </c:pt>
                <c:pt idx="108">
                  <c:v>34.166666666666664</c:v>
                </c:pt>
                <c:pt idx="109">
                  <c:v>41.333333333333336</c:v>
                </c:pt>
                <c:pt idx="110">
                  <c:v>35.166666666666664</c:v>
                </c:pt>
                <c:pt idx="111">
                  <c:v>35.5</c:v>
                </c:pt>
                <c:pt idx="112">
                  <c:v>34</c:v>
                </c:pt>
                <c:pt idx="113">
                  <c:v>35.333333333333336</c:v>
                </c:pt>
                <c:pt idx="114">
                  <c:v>28</c:v>
                </c:pt>
                <c:pt idx="115">
                  <c:v>35.666666666666664</c:v>
                </c:pt>
                <c:pt idx="116">
                  <c:v>33.833333333333336</c:v>
                </c:pt>
                <c:pt idx="117">
                  <c:v>32.333333333333336</c:v>
                </c:pt>
                <c:pt idx="118">
                  <c:v>32</c:v>
                </c:pt>
                <c:pt idx="119">
                  <c:v>33.333333333333336</c:v>
                </c:pt>
                <c:pt idx="120">
                  <c:v>29.166666666666668</c:v>
                </c:pt>
                <c:pt idx="121">
                  <c:v>27.166666666666668</c:v>
                </c:pt>
                <c:pt idx="122">
                  <c:v>32</c:v>
                </c:pt>
                <c:pt idx="123">
                  <c:v>29.166666666666668</c:v>
                </c:pt>
                <c:pt idx="124">
                  <c:v>26.166666666666668</c:v>
                </c:pt>
                <c:pt idx="125">
                  <c:v>25</c:v>
                </c:pt>
                <c:pt idx="126">
                  <c:v>30</c:v>
                </c:pt>
                <c:pt idx="127">
                  <c:v>21.833333333333332</c:v>
                </c:pt>
                <c:pt idx="128">
                  <c:v>24.333333333333332</c:v>
                </c:pt>
                <c:pt idx="129">
                  <c:v>24.5</c:v>
                </c:pt>
                <c:pt idx="130">
                  <c:v>25.666666666666668</c:v>
                </c:pt>
                <c:pt idx="131">
                  <c:v>24</c:v>
                </c:pt>
                <c:pt idx="132">
                  <c:v>21</c:v>
                </c:pt>
                <c:pt idx="133">
                  <c:v>22.166666666666668</c:v>
                </c:pt>
                <c:pt idx="134">
                  <c:v>22.333333333333332</c:v>
                </c:pt>
                <c:pt idx="135">
                  <c:v>19.666666666666668</c:v>
                </c:pt>
                <c:pt idx="136">
                  <c:v>18.333333333333332</c:v>
                </c:pt>
                <c:pt idx="137">
                  <c:v>20.833333333333332</c:v>
                </c:pt>
                <c:pt idx="138">
                  <c:v>21.5</c:v>
                </c:pt>
                <c:pt idx="139">
                  <c:v>21</c:v>
                </c:pt>
                <c:pt idx="140">
                  <c:v>17.5</c:v>
                </c:pt>
                <c:pt idx="141">
                  <c:v>16.666666666666668</c:v>
                </c:pt>
                <c:pt idx="142">
                  <c:v>22.166666666666668</c:v>
                </c:pt>
                <c:pt idx="143">
                  <c:v>23.166666666666668</c:v>
                </c:pt>
                <c:pt idx="144">
                  <c:v>14</c:v>
                </c:pt>
                <c:pt idx="145">
                  <c:v>15.333333333333334</c:v>
                </c:pt>
                <c:pt idx="146">
                  <c:v>17.166666666666668</c:v>
                </c:pt>
                <c:pt idx="147">
                  <c:v>22</c:v>
                </c:pt>
                <c:pt idx="148">
                  <c:v>17.833333333333332</c:v>
                </c:pt>
                <c:pt idx="149">
                  <c:v>16.666666666666668</c:v>
                </c:pt>
                <c:pt idx="150">
                  <c:v>15.166666666666666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33-4161-9765-8F6815FA891C}"/>
            </c:ext>
          </c:extLst>
        </c:ser>
        <c:ser>
          <c:idx val="2"/>
          <c:order val="2"/>
          <c:tx>
            <c:strRef>
              <c:f>'All Trials'!$AM$3</c:f>
              <c:strCache>
                <c:ptCount val="1"/>
                <c:pt idx="0">
                  <c:v>35 kV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'All Trials'!$AE$4:$AE$154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12.8</c:v>
                </c:pt>
                <c:pt idx="15">
                  <c:v>13</c:v>
                </c:pt>
                <c:pt idx="16">
                  <c:v>13.2</c:v>
                </c:pt>
                <c:pt idx="17">
                  <c:v>13.4</c:v>
                </c:pt>
                <c:pt idx="18">
                  <c:v>13.6</c:v>
                </c:pt>
                <c:pt idx="19">
                  <c:v>13.8</c:v>
                </c:pt>
                <c:pt idx="20">
                  <c:v>14</c:v>
                </c:pt>
                <c:pt idx="21">
                  <c:v>14.2</c:v>
                </c:pt>
                <c:pt idx="22">
                  <c:v>14.4</c:v>
                </c:pt>
                <c:pt idx="23">
                  <c:v>14.6</c:v>
                </c:pt>
                <c:pt idx="24">
                  <c:v>14.8</c:v>
                </c:pt>
                <c:pt idx="25">
                  <c:v>15</c:v>
                </c:pt>
                <c:pt idx="26">
                  <c:v>15.2</c:v>
                </c:pt>
                <c:pt idx="27">
                  <c:v>15.4</c:v>
                </c:pt>
                <c:pt idx="28">
                  <c:v>15.6</c:v>
                </c:pt>
                <c:pt idx="29">
                  <c:v>15.8</c:v>
                </c:pt>
                <c:pt idx="30">
                  <c:v>16</c:v>
                </c:pt>
                <c:pt idx="31">
                  <c:v>16.2</c:v>
                </c:pt>
                <c:pt idx="32">
                  <c:v>16.399999999999999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17</c:v>
                </c:pt>
                <c:pt idx="36">
                  <c:v>17.2</c:v>
                </c:pt>
                <c:pt idx="37">
                  <c:v>17.399999999999999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18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19</c:v>
                </c:pt>
                <c:pt idx="46">
                  <c:v>19.2</c:v>
                </c:pt>
                <c:pt idx="47">
                  <c:v>19.399999999999999</c:v>
                </c:pt>
                <c:pt idx="48">
                  <c:v>19.600000000000001</c:v>
                </c:pt>
                <c:pt idx="49">
                  <c:v>19.7</c:v>
                </c:pt>
                <c:pt idx="50">
                  <c:v>20</c:v>
                </c:pt>
                <c:pt idx="51">
                  <c:v>20.2</c:v>
                </c:pt>
                <c:pt idx="52">
                  <c:v>20.399999999999999</c:v>
                </c:pt>
                <c:pt idx="53">
                  <c:v>20.6</c:v>
                </c:pt>
                <c:pt idx="54">
                  <c:v>20.7</c:v>
                </c:pt>
                <c:pt idx="55">
                  <c:v>21</c:v>
                </c:pt>
                <c:pt idx="56">
                  <c:v>21.2</c:v>
                </c:pt>
                <c:pt idx="57">
                  <c:v>21.4</c:v>
                </c:pt>
                <c:pt idx="58">
                  <c:v>21.6</c:v>
                </c:pt>
                <c:pt idx="59">
                  <c:v>21.7</c:v>
                </c:pt>
                <c:pt idx="60">
                  <c:v>22</c:v>
                </c:pt>
                <c:pt idx="61">
                  <c:v>22.2</c:v>
                </c:pt>
                <c:pt idx="62">
                  <c:v>22.4</c:v>
                </c:pt>
                <c:pt idx="63">
                  <c:v>22.6</c:v>
                </c:pt>
                <c:pt idx="64">
                  <c:v>22.7</c:v>
                </c:pt>
                <c:pt idx="65">
                  <c:v>23</c:v>
                </c:pt>
                <c:pt idx="66">
                  <c:v>23.2</c:v>
                </c:pt>
                <c:pt idx="67">
                  <c:v>23.4</c:v>
                </c:pt>
                <c:pt idx="68">
                  <c:v>23.6</c:v>
                </c:pt>
                <c:pt idx="69">
                  <c:v>23.8</c:v>
                </c:pt>
                <c:pt idx="70">
                  <c:v>24</c:v>
                </c:pt>
                <c:pt idx="71">
                  <c:v>24.2</c:v>
                </c:pt>
                <c:pt idx="72">
                  <c:v>24.4</c:v>
                </c:pt>
                <c:pt idx="73">
                  <c:v>24.6</c:v>
                </c:pt>
                <c:pt idx="74">
                  <c:v>24.8</c:v>
                </c:pt>
                <c:pt idx="75">
                  <c:v>25</c:v>
                </c:pt>
                <c:pt idx="76">
                  <c:v>25.2</c:v>
                </c:pt>
                <c:pt idx="77">
                  <c:v>25.4</c:v>
                </c:pt>
                <c:pt idx="78">
                  <c:v>25.6</c:v>
                </c:pt>
                <c:pt idx="79">
                  <c:v>25.8</c:v>
                </c:pt>
                <c:pt idx="80">
                  <c:v>26</c:v>
                </c:pt>
                <c:pt idx="81">
                  <c:v>26.2</c:v>
                </c:pt>
                <c:pt idx="82">
                  <c:v>26.4</c:v>
                </c:pt>
                <c:pt idx="83">
                  <c:v>26.6</c:v>
                </c:pt>
                <c:pt idx="84">
                  <c:v>26.8</c:v>
                </c:pt>
                <c:pt idx="85">
                  <c:v>27</c:v>
                </c:pt>
                <c:pt idx="86">
                  <c:v>27.2</c:v>
                </c:pt>
                <c:pt idx="87">
                  <c:v>27.4</c:v>
                </c:pt>
                <c:pt idx="88">
                  <c:v>27.6</c:v>
                </c:pt>
                <c:pt idx="89">
                  <c:v>27.8</c:v>
                </c:pt>
                <c:pt idx="90">
                  <c:v>28</c:v>
                </c:pt>
                <c:pt idx="91">
                  <c:v>28.2</c:v>
                </c:pt>
                <c:pt idx="92">
                  <c:v>28.4</c:v>
                </c:pt>
                <c:pt idx="93">
                  <c:v>28.6</c:v>
                </c:pt>
                <c:pt idx="94">
                  <c:v>28.8</c:v>
                </c:pt>
                <c:pt idx="95">
                  <c:v>29</c:v>
                </c:pt>
                <c:pt idx="96">
                  <c:v>29.2</c:v>
                </c:pt>
                <c:pt idx="97">
                  <c:v>29.4</c:v>
                </c:pt>
                <c:pt idx="98">
                  <c:v>29.6</c:v>
                </c:pt>
                <c:pt idx="99">
                  <c:v>29.8</c:v>
                </c:pt>
                <c:pt idx="100">
                  <c:v>30</c:v>
                </c:pt>
                <c:pt idx="101">
                  <c:v>30.2</c:v>
                </c:pt>
                <c:pt idx="102">
                  <c:v>30.4</c:v>
                </c:pt>
                <c:pt idx="103">
                  <c:v>30.6</c:v>
                </c:pt>
                <c:pt idx="104">
                  <c:v>30.8</c:v>
                </c:pt>
                <c:pt idx="105">
                  <c:v>31</c:v>
                </c:pt>
                <c:pt idx="106">
                  <c:v>31.2</c:v>
                </c:pt>
                <c:pt idx="107">
                  <c:v>31.4</c:v>
                </c:pt>
                <c:pt idx="108">
                  <c:v>31.6</c:v>
                </c:pt>
                <c:pt idx="109">
                  <c:v>31.8</c:v>
                </c:pt>
                <c:pt idx="110">
                  <c:v>32</c:v>
                </c:pt>
                <c:pt idx="111">
                  <c:v>32.200000000000003</c:v>
                </c:pt>
                <c:pt idx="112">
                  <c:v>32.4</c:v>
                </c:pt>
                <c:pt idx="113">
                  <c:v>32.5</c:v>
                </c:pt>
                <c:pt idx="114">
                  <c:v>32.799999999999997</c:v>
                </c:pt>
                <c:pt idx="115">
                  <c:v>33</c:v>
                </c:pt>
                <c:pt idx="116">
                  <c:v>33.200000000000003</c:v>
                </c:pt>
                <c:pt idx="117">
                  <c:v>33.4</c:v>
                </c:pt>
                <c:pt idx="118">
                  <c:v>33.5</c:v>
                </c:pt>
                <c:pt idx="119">
                  <c:v>33.799999999999997</c:v>
                </c:pt>
                <c:pt idx="120">
                  <c:v>34</c:v>
                </c:pt>
                <c:pt idx="121">
                  <c:v>34.200000000000003</c:v>
                </c:pt>
                <c:pt idx="122">
                  <c:v>34.4</c:v>
                </c:pt>
                <c:pt idx="123">
                  <c:v>34.5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35.200000000000003</c:v>
                </c:pt>
                <c:pt idx="127">
                  <c:v>35.4</c:v>
                </c:pt>
                <c:pt idx="128">
                  <c:v>35.5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36.200000000000003</c:v>
                </c:pt>
                <c:pt idx="132">
                  <c:v>36.4</c:v>
                </c:pt>
                <c:pt idx="133">
                  <c:v>36.5</c:v>
                </c:pt>
                <c:pt idx="134">
                  <c:v>36.799999999999997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37.799999999999997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38.5</c:v>
                </c:pt>
                <c:pt idx="144">
                  <c:v>38.799999999999997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39.5</c:v>
                </c:pt>
                <c:pt idx="149">
                  <c:v>39.799999999999997</c:v>
                </c:pt>
                <c:pt idx="150">
                  <c:v>40</c:v>
                </c:pt>
              </c:numCache>
            </c:numRef>
          </c:xVal>
          <c:yVal>
            <c:numRef>
              <c:f>'All Trials'!$AM$4:$AM$154</c:f>
              <c:numCache>
                <c:formatCode>0.0000</c:formatCode>
                <c:ptCount val="151"/>
                <c:pt idx="0">
                  <c:v>3.3333333333333335</c:v>
                </c:pt>
                <c:pt idx="1">
                  <c:v>4.833333333333333</c:v>
                </c:pt>
                <c:pt idx="2">
                  <c:v>4.5</c:v>
                </c:pt>
                <c:pt idx="3">
                  <c:v>3.8333333333333335</c:v>
                </c:pt>
                <c:pt idx="4">
                  <c:v>4.666666666666667</c:v>
                </c:pt>
                <c:pt idx="5">
                  <c:v>6.166666666666667</c:v>
                </c:pt>
                <c:pt idx="6">
                  <c:v>11.333333333333334</c:v>
                </c:pt>
                <c:pt idx="7">
                  <c:v>13</c:v>
                </c:pt>
                <c:pt idx="8">
                  <c:v>17.333333333333332</c:v>
                </c:pt>
                <c:pt idx="9">
                  <c:v>17</c:v>
                </c:pt>
                <c:pt idx="10">
                  <c:v>18.833333333333332</c:v>
                </c:pt>
                <c:pt idx="11">
                  <c:v>26.666666666666668</c:v>
                </c:pt>
                <c:pt idx="12">
                  <c:v>27.333333333333332</c:v>
                </c:pt>
                <c:pt idx="13">
                  <c:v>28.833333333333332</c:v>
                </c:pt>
                <c:pt idx="14">
                  <c:v>27.333333333333332</c:v>
                </c:pt>
                <c:pt idx="15">
                  <c:v>34.166666666666664</c:v>
                </c:pt>
                <c:pt idx="16">
                  <c:v>37.833333333333336</c:v>
                </c:pt>
                <c:pt idx="17">
                  <c:v>39</c:v>
                </c:pt>
                <c:pt idx="18">
                  <c:v>45</c:v>
                </c:pt>
                <c:pt idx="19">
                  <c:v>41.333333333333336</c:v>
                </c:pt>
                <c:pt idx="20">
                  <c:v>47.833333333333336</c:v>
                </c:pt>
                <c:pt idx="21">
                  <c:v>55.333333333333336</c:v>
                </c:pt>
                <c:pt idx="22">
                  <c:v>51.5</c:v>
                </c:pt>
                <c:pt idx="23">
                  <c:v>53.666666666666664</c:v>
                </c:pt>
                <c:pt idx="24">
                  <c:v>60.333333333333336</c:v>
                </c:pt>
                <c:pt idx="25">
                  <c:v>59.5</c:v>
                </c:pt>
                <c:pt idx="26">
                  <c:v>69.666666666666671</c:v>
                </c:pt>
                <c:pt idx="27">
                  <c:v>62.833333333333336</c:v>
                </c:pt>
                <c:pt idx="28">
                  <c:v>72</c:v>
                </c:pt>
                <c:pt idx="29">
                  <c:v>75.166666666666671</c:v>
                </c:pt>
                <c:pt idx="30">
                  <c:v>75</c:v>
                </c:pt>
                <c:pt idx="31">
                  <c:v>75.333333333333329</c:v>
                </c:pt>
                <c:pt idx="32">
                  <c:v>82.833333333333329</c:v>
                </c:pt>
                <c:pt idx="33">
                  <c:v>83.333333333333329</c:v>
                </c:pt>
                <c:pt idx="34">
                  <c:v>77.833333333333329</c:v>
                </c:pt>
                <c:pt idx="35">
                  <c:v>84.333333333333329</c:v>
                </c:pt>
                <c:pt idx="36">
                  <c:v>84.5</c:v>
                </c:pt>
                <c:pt idx="37">
                  <c:v>94.666666666666671</c:v>
                </c:pt>
                <c:pt idx="38">
                  <c:v>95.333333333333329</c:v>
                </c:pt>
                <c:pt idx="39">
                  <c:v>90.833333333333329</c:v>
                </c:pt>
                <c:pt idx="40">
                  <c:v>90.166666666666671</c:v>
                </c:pt>
                <c:pt idx="41">
                  <c:v>96</c:v>
                </c:pt>
                <c:pt idx="42">
                  <c:v>102.83333333333333</c:v>
                </c:pt>
                <c:pt idx="43">
                  <c:v>100.83333333333333</c:v>
                </c:pt>
                <c:pt idx="44">
                  <c:v>104.16666666666667</c:v>
                </c:pt>
                <c:pt idx="45">
                  <c:v>107.66666666666667</c:v>
                </c:pt>
                <c:pt idx="46">
                  <c:v>103.5</c:v>
                </c:pt>
                <c:pt idx="47">
                  <c:v>110.16666666666667</c:v>
                </c:pt>
                <c:pt idx="48">
                  <c:v>102.66666666666667</c:v>
                </c:pt>
                <c:pt idx="49">
                  <c:v>105</c:v>
                </c:pt>
                <c:pt idx="50">
                  <c:v>116.66666666666667</c:v>
                </c:pt>
                <c:pt idx="51">
                  <c:v>109.5</c:v>
                </c:pt>
                <c:pt idx="52">
                  <c:v>110.16666666666667</c:v>
                </c:pt>
                <c:pt idx="53">
                  <c:v>115.33333333333333</c:v>
                </c:pt>
                <c:pt idx="54">
                  <c:v>127.16666666666667</c:v>
                </c:pt>
                <c:pt idx="55">
                  <c:v>106.83333333333333</c:v>
                </c:pt>
                <c:pt idx="56">
                  <c:v>114.5</c:v>
                </c:pt>
                <c:pt idx="57">
                  <c:v>121.83333333333333</c:v>
                </c:pt>
                <c:pt idx="58">
                  <c:v>118.66666666666667</c:v>
                </c:pt>
                <c:pt idx="59">
                  <c:v>117.83333333333333</c:v>
                </c:pt>
                <c:pt idx="60">
                  <c:v>109.5</c:v>
                </c:pt>
                <c:pt idx="61">
                  <c:v>122</c:v>
                </c:pt>
                <c:pt idx="62">
                  <c:v>110.16666666666667</c:v>
                </c:pt>
                <c:pt idx="63">
                  <c:v>119.33333333333333</c:v>
                </c:pt>
                <c:pt idx="64">
                  <c:v>115.83333333333333</c:v>
                </c:pt>
                <c:pt idx="65">
                  <c:v>117</c:v>
                </c:pt>
                <c:pt idx="66">
                  <c:v>118.66666666666667</c:v>
                </c:pt>
                <c:pt idx="67">
                  <c:v>113</c:v>
                </c:pt>
                <c:pt idx="68">
                  <c:v>115.66666666666667</c:v>
                </c:pt>
                <c:pt idx="69">
                  <c:v>113.5</c:v>
                </c:pt>
                <c:pt idx="70">
                  <c:v>113.16666666666667</c:v>
                </c:pt>
                <c:pt idx="71">
                  <c:v>104.33333333333333</c:v>
                </c:pt>
                <c:pt idx="72">
                  <c:v>103.83333333333333</c:v>
                </c:pt>
                <c:pt idx="73">
                  <c:v>104.33333333333333</c:v>
                </c:pt>
                <c:pt idx="74">
                  <c:v>110.5</c:v>
                </c:pt>
                <c:pt idx="75">
                  <c:v>106.33333333333333</c:v>
                </c:pt>
                <c:pt idx="76">
                  <c:v>106</c:v>
                </c:pt>
                <c:pt idx="77">
                  <c:v>104.83333333333333</c:v>
                </c:pt>
                <c:pt idx="78">
                  <c:v>100</c:v>
                </c:pt>
                <c:pt idx="79">
                  <c:v>98.666666666666671</c:v>
                </c:pt>
                <c:pt idx="80">
                  <c:v>98.333333333333329</c:v>
                </c:pt>
                <c:pt idx="81">
                  <c:v>97.333333333333329</c:v>
                </c:pt>
                <c:pt idx="82">
                  <c:v>95</c:v>
                </c:pt>
                <c:pt idx="83">
                  <c:v>90.166666666666671</c:v>
                </c:pt>
                <c:pt idx="84">
                  <c:v>76</c:v>
                </c:pt>
                <c:pt idx="85">
                  <c:v>81.333333333333329</c:v>
                </c:pt>
                <c:pt idx="86">
                  <c:v>82</c:v>
                </c:pt>
                <c:pt idx="87">
                  <c:v>73</c:v>
                </c:pt>
                <c:pt idx="88">
                  <c:v>74</c:v>
                </c:pt>
                <c:pt idx="89">
                  <c:v>72.333333333333329</c:v>
                </c:pt>
                <c:pt idx="90">
                  <c:v>69.333333333333329</c:v>
                </c:pt>
                <c:pt idx="91">
                  <c:v>65</c:v>
                </c:pt>
                <c:pt idx="92">
                  <c:v>51.5</c:v>
                </c:pt>
                <c:pt idx="93">
                  <c:v>61.833333333333336</c:v>
                </c:pt>
                <c:pt idx="94">
                  <c:v>58.5</c:v>
                </c:pt>
                <c:pt idx="95">
                  <c:v>63</c:v>
                </c:pt>
                <c:pt idx="96">
                  <c:v>60.5</c:v>
                </c:pt>
                <c:pt idx="97">
                  <c:v>53</c:v>
                </c:pt>
                <c:pt idx="98">
                  <c:v>56.166666666666664</c:v>
                </c:pt>
                <c:pt idx="99">
                  <c:v>57.166666666666664</c:v>
                </c:pt>
                <c:pt idx="100">
                  <c:v>53.5</c:v>
                </c:pt>
                <c:pt idx="101">
                  <c:v>49.166666666666664</c:v>
                </c:pt>
                <c:pt idx="102">
                  <c:v>54</c:v>
                </c:pt>
                <c:pt idx="103">
                  <c:v>50.5</c:v>
                </c:pt>
                <c:pt idx="104">
                  <c:v>44.333333333333336</c:v>
                </c:pt>
                <c:pt idx="105">
                  <c:v>47.5</c:v>
                </c:pt>
                <c:pt idx="106">
                  <c:v>50</c:v>
                </c:pt>
                <c:pt idx="107">
                  <c:v>52</c:v>
                </c:pt>
                <c:pt idx="108">
                  <c:v>43.5</c:v>
                </c:pt>
                <c:pt idx="109">
                  <c:v>42.5</c:v>
                </c:pt>
                <c:pt idx="110">
                  <c:v>45.5</c:v>
                </c:pt>
                <c:pt idx="111">
                  <c:v>47.833333333333336</c:v>
                </c:pt>
                <c:pt idx="112">
                  <c:v>40.666666666666664</c:v>
                </c:pt>
                <c:pt idx="113">
                  <c:v>43.666666666666664</c:v>
                </c:pt>
                <c:pt idx="114">
                  <c:v>41</c:v>
                </c:pt>
                <c:pt idx="115">
                  <c:v>41</c:v>
                </c:pt>
                <c:pt idx="116">
                  <c:v>42.166666666666664</c:v>
                </c:pt>
                <c:pt idx="117">
                  <c:v>39.833333333333336</c:v>
                </c:pt>
                <c:pt idx="118">
                  <c:v>43.166666666666664</c:v>
                </c:pt>
                <c:pt idx="119">
                  <c:v>32.333333333333336</c:v>
                </c:pt>
                <c:pt idx="120">
                  <c:v>37.166666666666664</c:v>
                </c:pt>
                <c:pt idx="121">
                  <c:v>35.166666666666664</c:v>
                </c:pt>
                <c:pt idx="122">
                  <c:v>34.833333333333336</c:v>
                </c:pt>
                <c:pt idx="123">
                  <c:v>36.333333333333336</c:v>
                </c:pt>
                <c:pt idx="124">
                  <c:v>34.666666666666664</c:v>
                </c:pt>
                <c:pt idx="125">
                  <c:v>33.166666666666664</c:v>
                </c:pt>
                <c:pt idx="126">
                  <c:v>28</c:v>
                </c:pt>
                <c:pt idx="127">
                  <c:v>34.666666666666664</c:v>
                </c:pt>
                <c:pt idx="128">
                  <c:v>34.666666666666664</c:v>
                </c:pt>
                <c:pt idx="129">
                  <c:v>30</c:v>
                </c:pt>
                <c:pt idx="130">
                  <c:v>22.833333333333332</c:v>
                </c:pt>
                <c:pt idx="131">
                  <c:v>26.166666666666668</c:v>
                </c:pt>
                <c:pt idx="132">
                  <c:v>27.333333333333332</c:v>
                </c:pt>
                <c:pt idx="133">
                  <c:v>27.333333333333332</c:v>
                </c:pt>
                <c:pt idx="134">
                  <c:v>22</c:v>
                </c:pt>
                <c:pt idx="135">
                  <c:v>23.666666666666668</c:v>
                </c:pt>
                <c:pt idx="136">
                  <c:v>24.5</c:v>
                </c:pt>
                <c:pt idx="137">
                  <c:v>25.166666666666668</c:v>
                </c:pt>
                <c:pt idx="138">
                  <c:v>24.833333333333332</c:v>
                </c:pt>
                <c:pt idx="139">
                  <c:v>25.5</c:v>
                </c:pt>
                <c:pt idx="140">
                  <c:v>23</c:v>
                </c:pt>
                <c:pt idx="141">
                  <c:v>22.166666666666668</c:v>
                </c:pt>
                <c:pt idx="142">
                  <c:v>24.333333333333332</c:v>
                </c:pt>
                <c:pt idx="143">
                  <c:v>24.333333333333332</c:v>
                </c:pt>
                <c:pt idx="144">
                  <c:v>20.5</c:v>
                </c:pt>
                <c:pt idx="145">
                  <c:v>24.666666666666668</c:v>
                </c:pt>
                <c:pt idx="146">
                  <c:v>23.333333333333332</c:v>
                </c:pt>
                <c:pt idx="147">
                  <c:v>22.833333333333332</c:v>
                </c:pt>
                <c:pt idx="148">
                  <c:v>21</c:v>
                </c:pt>
                <c:pt idx="149">
                  <c:v>21.833333333333332</c:v>
                </c:pt>
                <c:pt idx="150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33-4161-9765-8F6815FA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384704"/>
        <c:axId val="723375104"/>
      </c:scatterChart>
      <c:valAx>
        <c:axId val="72338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Detector</a:t>
                </a:r>
                <a:r>
                  <a:rPr lang="en-IN" b="1" baseline="0"/>
                  <a:t> Angle (in degrees)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1889704743928029"/>
              <c:y val="0.8843233048873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75104"/>
        <c:crosses val="autoZero"/>
        <c:crossBetween val="midCat"/>
      </c:valAx>
      <c:valAx>
        <c:axId val="7233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Impulse/s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8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214350276454837"/>
          <c:y val="0.90837737859859269"/>
          <c:w val="0.44355382053666975"/>
          <c:h val="7.7792873941307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5"/>
            <c:dispRSqr val="1"/>
            <c:dispEq val="1"/>
            <c:trendlineLbl>
              <c:layout>
                <c:manualLayout>
                  <c:x val="-4.3875765529308836E-4"/>
                  <c:y val="-0.15782407407407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Trials'!$AJ$27:$AJ$72</c:f>
              <c:numCache>
                <c:formatCode>General</c:formatCode>
                <c:ptCount val="46"/>
                <c:pt idx="0">
                  <c:v>14.6</c:v>
                </c:pt>
                <c:pt idx="1">
                  <c:v>14.8</c:v>
                </c:pt>
                <c:pt idx="2">
                  <c:v>15</c:v>
                </c:pt>
                <c:pt idx="3">
                  <c:v>15.2</c:v>
                </c:pt>
                <c:pt idx="4">
                  <c:v>15.4</c:v>
                </c:pt>
                <c:pt idx="5">
                  <c:v>15.6</c:v>
                </c:pt>
                <c:pt idx="6">
                  <c:v>15.8</c:v>
                </c:pt>
                <c:pt idx="7">
                  <c:v>16</c:v>
                </c:pt>
                <c:pt idx="8">
                  <c:v>16.2</c:v>
                </c:pt>
                <c:pt idx="9">
                  <c:v>16.399999999999999</c:v>
                </c:pt>
                <c:pt idx="10">
                  <c:v>16.600000000000001</c:v>
                </c:pt>
                <c:pt idx="11">
                  <c:v>16.7</c:v>
                </c:pt>
                <c:pt idx="12">
                  <c:v>17</c:v>
                </c:pt>
                <c:pt idx="13">
                  <c:v>17.2</c:v>
                </c:pt>
                <c:pt idx="14">
                  <c:v>17.399999999999999</c:v>
                </c:pt>
                <c:pt idx="15">
                  <c:v>17.600000000000001</c:v>
                </c:pt>
                <c:pt idx="16">
                  <c:v>17.7</c:v>
                </c:pt>
                <c:pt idx="17">
                  <c:v>18</c:v>
                </c:pt>
                <c:pt idx="18">
                  <c:v>18.2</c:v>
                </c:pt>
                <c:pt idx="19">
                  <c:v>18.399999999999999</c:v>
                </c:pt>
                <c:pt idx="20">
                  <c:v>18.600000000000001</c:v>
                </c:pt>
                <c:pt idx="21">
                  <c:v>18.7</c:v>
                </c:pt>
                <c:pt idx="22">
                  <c:v>19</c:v>
                </c:pt>
                <c:pt idx="23">
                  <c:v>19.2</c:v>
                </c:pt>
                <c:pt idx="24">
                  <c:v>19.399999999999999</c:v>
                </c:pt>
                <c:pt idx="25">
                  <c:v>19.600000000000001</c:v>
                </c:pt>
                <c:pt idx="26">
                  <c:v>19.7</c:v>
                </c:pt>
                <c:pt idx="27">
                  <c:v>20</c:v>
                </c:pt>
                <c:pt idx="28">
                  <c:v>20.2</c:v>
                </c:pt>
                <c:pt idx="29">
                  <c:v>20.399999999999999</c:v>
                </c:pt>
                <c:pt idx="30">
                  <c:v>20.6</c:v>
                </c:pt>
                <c:pt idx="31">
                  <c:v>20.7</c:v>
                </c:pt>
                <c:pt idx="32">
                  <c:v>21</c:v>
                </c:pt>
                <c:pt idx="33">
                  <c:v>21.2</c:v>
                </c:pt>
                <c:pt idx="34">
                  <c:v>21.4</c:v>
                </c:pt>
                <c:pt idx="35">
                  <c:v>21.6</c:v>
                </c:pt>
                <c:pt idx="36">
                  <c:v>21.7</c:v>
                </c:pt>
                <c:pt idx="37">
                  <c:v>22</c:v>
                </c:pt>
                <c:pt idx="38">
                  <c:v>22.2</c:v>
                </c:pt>
                <c:pt idx="39">
                  <c:v>22.4</c:v>
                </c:pt>
                <c:pt idx="40">
                  <c:v>22.6</c:v>
                </c:pt>
                <c:pt idx="41">
                  <c:v>22.7</c:v>
                </c:pt>
                <c:pt idx="42">
                  <c:v>23</c:v>
                </c:pt>
                <c:pt idx="43">
                  <c:v>23.2</c:v>
                </c:pt>
                <c:pt idx="44">
                  <c:v>23.4</c:v>
                </c:pt>
                <c:pt idx="45">
                  <c:v>23.6</c:v>
                </c:pt>
              </c:numCache>
            </c:numRef>
          </c:xVal>
          <c:yVal>
            <c:numRef>
              <c:f>'All Trials'!$AT$27:$AT$72</c:f>
              <c:numCache>
                <c:formatCode>General</c:formatCode>
                <c:ptCount val="46"/>
                <c:pt idx="0">
                  <c:v>1</c:v>
                </c:pt>
                <c:pt idx="1">
                  <c:v>1.6666666666666667</c:v>
                </c:pt>
                <c:pt idx="2">
                  <c:v>3.1666666666666665</c:v>
                </c:pt>
                <c:pt idx="3">
                  <c:v>7.333333333333333</c:v>
                </c:pt>
                <c:pt idx="4">
                  <c:v>8</c:v>
                </c:pt>
                <c:pt idx="5">
                  <c:v>11.833333333333334</c:v>
                </c:pt>
                <c:pt idx="6">
                  <c:v>11.5</c:v>
                </c:pt>
                <c:pt idx="7">
                  <c:v>16.666666666666668</c:v>
                </c:pt>
                <c:pt idx="8">
                  <c:v>17.333333333333332</c:v>
                </c:pt>
                <c:pt idx="9">
                  <c:v>20.333333333333332</c:v>
                </c:pt>
                <c:pt idx="10">
                  <c:v>24.333333333333332</c:v>
                </c:pt>
                <c:pt idx="11">
                  <c:v>24.166666666666668</c:v>
                </c:pt>
                <c:pt idx="12">
                  <c:v>21.833333333333332</c:v>
                </c:pt>
                <c:pt idx="13">
                  <c:v>29.833333333333332</c:v>
                </c:pt>
                <c:pt idx="14">
                  <c:v>34.833333333333336</c:v>
                </c:pt>
                <c:pt idx="15">
                  <c:v>34.833333333333336</c:v>
                </c:pt>
                <c:pt idx="16">
                  <c:v>33.666666666666664</c:v>
                </c:pt>
                <c:pt idx="17">
                  <c:v>37.333333333333336</c:v>
                </c:pt>
                <c:pt idx="18">
                  <c:v>38.5</c:v>
                </c:pt>
                <c:pt idx="19">
                  <c:v>40.166666666666664</c:v>
                </c:pt>
                <c:pt idx="20">
                  <c:v>38.666666666666664</c:v>
                </c:pt>
                <c:pt idx="21">
                  <c:v>40.666666666666664</c:v>
                </c:pt>
                <c:pt idx="22">
                  <c:v>41</c:v>
                </c:pt>
                <c:pt idx="23">
                  <c:v>45.833333333333336</c:v>
                </c:pt>
                <c:pt idx="24">
                  <c:v>47</c:v>
                </c:pt>
                <c:pt idx="25">
                  <c:v>46.5</c:v>
                </c:pt>
                <c:pt idx="26">
                  <c:v>42</c:v>
                </c:pt>
                <c:pt idx="27">
                  <c:v>55.833333333333336</c:v>
                </c:pt>
                <c:pt idx="28">
                  <c:v>43</c:v>
                </c:pt>
                <c:pt idx="29">
                  <c:v>51.166666666666664</c:v>
                </c:pt>
                <c:pt idx="30">
                  <c:v>56.166666666666664</c:v>
                </c:pt>
                <c:pt idx="31">
                  <c:v>56.166666666666664</c:v>
                </c:pt>
                <c:pt idx="32">
                  <c:v>54.5</c:v>
                </c:pt>
                <c:pt idx="33">
                  <c:v>57.666666666666664</c:v>
                </c:pt>
                <c:pt idx="34">
                  <c:v>55.333333333333336</c:v>
                </c:pt>
                <c:pt idx="35">
                  <c:v>60.833333333333336</c:v>
                </c:pt>
                <c:pt idx="36">
                  <c:v>59</c:v>
                </c:pt>
                <c:pt idx="37">
                  <c:v>58.666666666666664</c:v>
                </c:pt>
                <c:pt idx="38">
                  <c:v>54</c:v>
                </c:pt>
                <c:pt idx="39">
                  <c:v>63.5</c:v>
                </c:pt>
                <c:pt idx="40">
                  <c:v>57</c:v>
                </c:pt>
                <c:pt idx="41">
                  <c:v>60.833333333333336</c:v>
                </c:pt>
                <c:pt idx="42">
                  <c:v>60.666666666666664</c:v>
                </c:pt>
                <c:pt idx="43">
                  <c:v>64.5</c:v>
                </c:pt>
                <c:pt idx="44">
                  <c:v>63.833333333333336</c:v>
                </c:pt>
                <c:pt idx="45">
                  <c:v>62.166666666666664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8-407E-9054-64FB6063E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009232"/>
        <c:axId val="976008752"/>
      </c:scatterChart>
      <c:valAx>
        <c:axId val="97600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8752"/>
        <c:crosses val="autoZero"/>
        <c:crossBetween val="midCat"/>
      </c:valAx>
      <c:valAx>
        <c:axId val="9760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Smoothed</a:t>
            </a:r>
            <a:r>
              <a:rPr lang="en-IN" b="1" baseline="0"/>
              <a:t> Brehmmstrahlung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41198226031036"/>
          <c:y val="0.17367471740799215"/>
          <c:w val="0.84943928615020747"/>
          <c:h val="0.57216539697826196"/>
        </c:manualLayout>
      </c:layout>
      <c:scatterChart>
        <c:scatterStyle val="lineMarker"/>
        <c:varyColors val="0"/>
        <c:ser>
          <c:idx val="0"/>
          <c:order val="0"/>
          <c:tx>
            <c:v>25 kV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'All Trials'!$AJ$4:$AJ$154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12.8</c:v>
                </c:pt>
                <c:pt idx="15">
                  <c:v>13</c:v>
                </c:pt>
                <c:pt idx="16">
                  <c:v>13.2</c:v>
                </c:pt>
                <c:pt idx="17">
                  <c:v>13.4</c:v>
                </c:pt>
                <c:pt idx="18">
                  <c:v>13.6</c:v>
                </c:pt>
                <c:pt idx="19">
                  <c:v>13.8</c:v>
                </c:pt>
                <c:pt idx="20">
                  <c:v>14</c:v>
                </c:pt>
                <c:pt idx="21">
                  <c:v>14.2</c:v>
                </c:pt>
                <c:pt idx="22">
                  <c:v>14.4</c:v>
                </c:pt>
                <c:pt idx="23">
                  <c:v>14.6</c:v>
                </c:pt>
                <c:pt idx="24">
                  <c:v>14.8</c:v>
                </c:pt>
                <c:pt idx="25">
                  <c:v>15</c:v>
                </c:pt>
                <c:pt idx="26">
                  <c:v>15.2</c:v>
                </c:pt>
                <c:pt idx="27">
                  <c:v>15.4</c:v>
                </c:pt>
                <c:pt idx="28">
                  <c:v>15.6</c:v>
                </c:pt>
                <c:pt idx="29">
                  <c:v>15.8</c:v>
                </c:pt>
                <c:pt idx="30">
                  <c:v>16</c:v>
                </c:pt>
                <c:pt idx="31">
                  <c:v>16.2</c:v>
                </c:pt>
                <c:pt idx="32">
                  <c:v>16.399999999999999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17</c:v>
                </c:pt>
                <c:pt idx="36">
                  <c:v>17.2</c:v>
                </c:pt>
                <c:pt idx="37">
                  <c:v>17.399999999999999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18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19</c:v>
                </c:pt>
                <c:pt idx="46">
                  <c:v>19.2</c:v>
                </c:pt>
                <c:pt idx="47">
                  <c:v>19.399999999999999</c:v>
                </c:pt>
                <c:pt idx="48">
                  <c:v>19.600000000000001</c:v>
                </c:pt>
                <c:pt idx="49">
                  <c:v>19.7</c:v>
                </c:pt>
                <c:pt idx="50">
                  <c:v>20</c:v>
                </c:pt>
                <c:pt idx="51">
                  <c:v>20.2</c:v>
                </c:pt>
                <c:pt idx="52">
                  <c:v>20.399999999999999</c:v>
                </c:pt>
                <c:pt idx="53">
                  <c:v>20.6</c:v>
                </c:pt>
                <c:pt idx="54">
                  <c:v>20.7</c:v>
                </c:pt>
                <c:pt idx="55">
                  <c:v>21</c:v>
                </c:pt>
                <c:pt idx="56">
                  <c:v>21.2</c:v>
                </c:pt>
                <c:pt idx="57">
                  <c:v>21.4</c:v>
                </c:pt>
                <c:pt idx="58">
                  <c:v>21.6</c:v>
                </c:pt>
                <c:pt idx="59">
                  <c:v>21.7</c:v>
                </c:pt>
                <c:pt idx="60">
                  <c:v>22</c:v>
                </c:pt>
                <c:pt idx="61">
                  <c:v>22.2</c:v>
                </c:pt>
                <c:pt idx="62">
                  <c:v>22.4</c:v>
                </c:pt>
                <c:pt idx="63">
                  <c:v>22.6</c:v>
                </c:pt>
                <c:pt idx="64">
                  <c:v>22.7</c:v>
                </c:pt>
                <c:pt idx="65">
                  <c:v>23</c:v>
                </c:pt>
                <c:pt idx="66">
                  <c:v>23.2</c:v>
                </c:pt>
                <c:pt idx="67">
                  <c:v>23.4</c:v>
                </c:pt>
                <c:pt idx="68">
                  <c:v>23.6</c:v>
                </c:pt>
                <c:pt idx="69">
                  <c:v>23.8</c:v>
                </c:pt>
                <c:pt idx="70">
                  <c:v>24</c:v>
                </c:pt>
                <c:pt idx="71">
                  <c:v>24.2</c:v>
                </c:pt>
                <c:pt idx="72">
                  <c:v>24.4</c:v>
                </c:pt>
                <c:pt idx="73">
                  <c:v>24.6</c:v>
                </c:pt>
                <c:pt idx="74">
                  <c:v>24.8</c:v>
                </c:pt>
                <c:pt idx="75">
                  <c:v>25</c:v>
                </c:pt>
                <c:pt idx="76">
                  <c:v>25.2</c:v>
                </c:pt>
                <c:pt idx="77">
                  <c:v>25.4</c:v>
                </c:pt>
                <c:pt idx="78">
                  <c:v>25.6</c:v>
                </c:pt>
                <c:pt idx="79">
                  <c:v>25.8</c:v>
                </c:pt>
                <c:pt idx="80">
                  <c:v>26</c:v>
                </c:pt>
                <c:pt idx="81">
                  <c:v>26.2</c:v>
                </c:pt>
                <c:pt idx="82">
                  <c:v>26.4</c:v>
                </c:pt>
                <c:pt idx="83">
                  <c:v>26.6</c:v>
                </c:pt>
                <c:pt idx="84">
                  <c:v>26.8</c:v>
                </c:pt>
                <c:pt idx="85">
                  <c:v>27</c:v>
                </c:pt>
                <c:pt idx="86">
                  <c:v>27.2</c:v>
                </c:pt>
                <c:pt idx="87">
                  <c:v>27.4</c:v>
                </c:pt>
                <c:pt idx="88">
                  <c:v>27.6</c:v>
                </c:pt>
                <c:pt idx="89">
                  <c:v>27.8</c:v>
                </c:pt>
                <c:pt idx="90">
                  <c:v>28</c:v>
                </c:pt>
                <c:pt idx="91">
                  <c:v>28.2</c:v>
                </c:pt>
                <c:pt idx="92">
                  <c:v>28.4</c:v>
                </c:pt>
                <c:pt idx="93">
                  <c:v>28.6</c:v>
                </c:pt>
                <c:pt idx="94">
                  <c:v>28.8</c:v>
                </c:pt>
                <c:pt idx="95">
                  <c:v>29</c:v>
                </c:pt>
                <c:pt idx="96">
                  <c:v>29.2</c:v>
                </c:pt>
                <c:pt idx="97">
                  <c:v>29.4</c:v>
                </c:pt>
                <c:pt idx="98">
                  <c:v>29.6</c:v>
                </c:pt>
                <c:pt idx="99">
                  <c:v>29.8</c:v>
                </c:pt>
                <c:pt idx="100">
                  <c:v>30</c:v>
                </c:pt>
                <c:pt idx="101">
                  <c:v>30.2</c:v>
                </c:pt>
                <c:pt idx="102">
                  <c:v>30.4</c:v>
                </c:pt>
                <c:pt idx="103">
                  <c:v>30.6</c:v>
                </c:pt>
                <c:pt idx="104">
                  <c:v>30.8</c:v>
                </c:pt>
                <c:pt idx="105">
                  <c:v>31</c:v>
                </c:pt>
                <c:pt idx="106">
                  <c:v>31.2</c:v>
                </c:pt>
                <c:pt idx="107">
                  <c:v>31.4</c:v>
                </c:pt>
                <c:pt idx="108">
                  <c:v>31.6</c:v>
                </c:pt>
                <c:pt idx="109">
                  <c:v>31.8</c:v>
                </c:pt>
                <c:pt idx="110">
                  <c:v>32</c:v>
                </c:pt>
                <c:pt idx="111">
                  <c:v>32.200000000000003</c:v>
                </c:pt>
                <c:pt idx="112">
                  <c:v>32.4</c:v>
                </c:pt>
                <c:pt idx="113">
                  <c:v>32.5</c:v>
                </c:pt>
                <c:pt idx="114">
                  <c:v>32.799999999999997</c:v>
                </c:pt>
                <c:pt idx="115">
                  <c:v>33</c:v>
                </c:pt>
                <c:pt idx="116">
                  <c:v>33.200000000000003</c:v>
                </c:pt>
                <c:pt idx="117">
                  <c:v>33.4</c:v>
                </c:pt>
                <c:pt idx="118">
                  <c:v>33.5</c:v>
                </c:pt>
                <c:pt idx="119">
                  <c:v>33.799999999999997</c:v>
                </c:pt>
                <c:pt idx="120">
                  <c:v>34</c:v>
                </c:pt>
                <c:pt idx="121">
                  <c:v>34.200000000000003</c:v>
                </c:pt>
                <c:pt idx="122">
                  <c:v>34.4</c:v>
                </c:pt>
                <c:pt idx="123">
                  <c:v>34.5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35.200000000000003</c:v>
                </c:pt>
                <c:pt idx="127">
                  <c:v>35.4</c:v>
                </c:pt>
                <c:pt idx="128">
                  <c:v>35.5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36.200000000000003</c:v>
                </c:pt>
                <c:pt idx="132">
                  <c:v>36.4</c:v>
                </c:pt>
                <c:pt idx="133">
                  <c:v>36.5</c:v>
                </c:pt>
                <c:pt idx="134">
                  <c:v>36.799999999999997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37.799999999999997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38.5</c:v>
                </c:pt>
                <c:pt idx="144">
                  <c:v>38.799999999999997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39.5</c:v>
                </c:pt>
                <c:pt idx="149">
                  <c:v>39.799999999999997</c:v>
                </c:pt>
                <c:pt idx="150">
                  <c:v>40</c:v>
                </c:pt>
              </c:numCache>
            </c:numRef>
          </c:xVal>
          <c:yVal>
            <c:numRef>
              <c:f>'All Trials'!$AO$3:$AO$154</c:f>
              <c:numCache>
                <c:formatCode>General</c:formatCode>
                <c:ptCount val="152"/>
                <c:pt idx="0">
                  <c:v>0</c:v>
                </c:pt>
                <c:pt idx="1">
                  <c:v>1.5</c:v>
                </c:pt>
                <c:pt idx="2">
                  <c:v>0.16666666666666666</c:v>
                </c:pt>
                <c:pt idx="3">
                  <c:v>0.83333333333333337</c:v>
                </c:pt>
                <c:pt idx="4" formatCode="0.0000">
                  <c:v>0.80952380952380953</c:v>
                </c:pt>
                <c:pt idx="5" formatCode="0.0000">
                  <c:v>0.8571428571428571</c:v>
                </c:pt>
                <c:pt idx="6" formatCode="0.0000">
                  <c:v>0.97619047619047616</c:v>
                </c:pt>
                <c:pt idx="7" formatCode="0.0000">
                  <c:v>1</c:v>
                </c:pt>
                <c:pt idx="8" formatCode="0.0000">
                  <c:v>1.0238095238095239</c:v>
                </c:pt>
                <c:pt idx="9" formatCode="0.0000">
                  <c:v>0.90476190476190488</c:v>
                </c:pt>
                <c:pt idx="10" formatCode="0.0000">
                  <c:v>1.0238095238095239</c:v>
                </c:pt>
                <c:pt idx="11" formatCode="0.0000">
                  <c:v>1.0238095238095239</c:v>
                </c:pt>
                <c:pt idx="12" formatCode="0.0000">
                  <c:v>0.78571428571428581</c:v>
                </c:pt>
                <c:pt idx="13" formatCode="0.0000">
                  <c:v>0.80952380952380965</c:v>
                </c:pt>
                <c:pt idx="14" formatCode="0.0000">
                  <c:v>0.69047619047619058</c:v>
                </c:pt>
                <c:pt idx="15" formatCode="0.0000">
                  <c:v>0.66666666666666663</c:v>
                </c:pt>
                <c:pt idx="16" formatCode="0.0000">
                  <c:v>0.73809523809523814</c:v>
                </c:pt>
                <c:pt idx="17" formatCode="0.0000">
                  <c:v>0.59523809523809512</c:v>
                </c:pt>
                <c:pt idx="18" formatCode="0.0000">
                  <c:v>0.54761904761904767</c:v>
                </c:pt>
                <c:pt idx="19" formatCode="0.0000">
                  <c:v>0.73809523809523814</c:v>
                </c:pt>
                <c:pt idx="20" formatCode="0.0000">
                  <c:v>0.7142857142857143</c:v>
                </c:pt>
                <c:pt idx="21" formatCode="0.0000">
                  <c:v>0.83333333333333326</c:v>
                </c:pt>
                <c:pt idx="22" formatCode="0.0000">
                  <c:v>0.9285714285714286</c:v>
                </c:pt>
                <c:pt idx="23" formatCode="0.0000">
                  <c:v>1.2857142857142858</c:v>
                </c:pt>
                <c:pt idx="24" formatCode="0.0000">
                  <c:v>2.2857142857142856</c:v>
                </c:pt>
                <c:pt idx="25" formatCode="0.0000">
                  <c:v>3.3809523809523809</c:v>
                </c:pt>
                <c:pt idx="26" formatCode="0.0000">
                  <c:v>4.8571428571428568</c:v>
                </c:pt>
                <c:pt idx="27" formatCode="0.0000">
                  <c:v>6.3571428571428568</c:v>
                </c:pt>
                <c:pt idx="28" formatCode="0.0000">
                  <c:v>8.5952380952380967</c:v>
                </c:pt>
                <c:pt idx="29" formatCode="0.0000">
                  <c:v>10.833333333333332</c:v>
                </c:pt>
                <c:pt idx="30" formatCode="0.0000">
                  <c:v>13.285714285714283</c:v>
                </c:pt>
                <c:pt idx="31" formatCode="0.0000">
                  <c:v>15.714285714285712</c:v>
                </c:pt>
                <c:pt idx="32" formatCode="0.0000">
                  <c:v>18.023809523809522</c:v>
                </c:pt>
                <c:pt idx="33" formatCode="0.0000">
                  <c:v>19.452380952380953</c:v>
                </c:pt>
                <c:pt idx="34" formatCode="0.0000">
                  <c:v>22.071428571428573</c:v>
                </c:pt>
                <c:pt idx="35" formatCode="0.0000">
                  <c:v>24.666666666666668</c:v>
                </c:pt>
                <c:pt idx="36" formatCode="0.0000">
                  <c:v>27.166666666666664</c:v>
                </c:pt>
                <c:pt idx="37" formatCode="0.0000">
                  <c:v>29.071428571428573</c:v>
                </c:pt>
                <c:pt idx="38" formatCode="0.0000">
                  <c:v>30.928571428571427</c:v>
                </c:pt>
                <c:pt idx="39" formatCode="0.0000">
                  <c:v>32.976190476190474</c:v>
                </c:pt>
                <c:pt idx="40" formatCode="0.0000">
                  <c:v>35.595238095238095</c:v>
                </c:pt>
                <c:pt idx="41" formatCode="0.0000">
                  <c:v>36.857142857142854</c:v>
                </c:pt>
                <c:pt idx="42" formatCode="0.0000">
                  <c:v>37.69047619047619</c:v>
                </c:pt>
                <c:pt idx="43" formatCode="0.0000">
                  <c:v>38.571428571428569</c:v>
                </c:pt>
                <c:pt idx="44" formatCode="0.0000">
                  <c:v>40.309523809523803</c:v>
                </c:pt>
                <c:pt idx="45" formatCode="0.0000">
                  <c:v>41.69047619047619</c:v>
                </c:pt>
                <c:pt idx="46" formatCode="0.0000">
                  <c:v>42.833333333333336</c:v>
                </c:pt>
                <c:pt idx="47" formatCode="0.0000">
                  <c:v>43.095238095238088</c:v>
                </c:pt>
                <c:pt idx="48" formatCode="0.0000">
                  <c:v>45.547619047619044</c:v>
                </c:pt>
                <c:pt idx="49" formatCode="0.0000">
                  <c:v>45.880952380952387</c:v>
                </c:pt>
                <c:pt idx="50" formatCode="0.0000">
                  <c:v>47.333333333333336</c:v>
                </c:pt>
                <c:pt idx="51" formatCode="0.0000">
                  <c:v>48.80952380952381</c:v>
                </c:pt>
                <c:pt idx="52" formatCode="0.0000">
                  <c:v>50.119047619047628</c:v>
                </c:pt>
                <c:pt idx="53" formatCode="0.0000">
                  <c:v>51.261904761904759</c:v>
                </c:pt>
                <c:pt idx="54" formatCode="0.0000">
                  <c:v>53.5</c:v>
                </c:pt>
                <c:pt idx="55" formatCode="0.0000">
                  <c:v>53.428571428571431</c:v>
                </c:pt>
                <c:pt idx="56" formatCode="0.0000">
                  <c:v>55.976190476190474</c:v>
                </c:pt>
                <c:pt idx="57" formatCode="0.0000">
                  <c:v>57.095238095238088</c:v>
                </c:pt>
                <c:pt idx="58" formatCode="0.0000">
                  <c:v>57.452380952380956</c:v>
                </c:pt>
                <c:pt idx="59" formatCode="0.0000">
                  <c:v>57.142857142857153</c:v>
                </c:pt>
                <c:pt idx="60" formatCode="0.0000">
                  <c:v>58.428571428571431</c:v>
                </c:pt>
                <c:pt idx="61" formatCode="0.0000">
                  <c:v>58.333333333333336</c:v>
                </c:pt>
                <c:pt idx="62" formatCode="0.0000">
                  <c:v>59.119047619047613</c:v>
                </c:pt>
                <c:pt idx="63" formatCode="0.0000">
                  <c:v>59.095238095238088</c:v>
                </c:pt>
                <c:pt idx="64" formatCode="0.0000">
                  <c:v>59.880952380952387</c:v>
                </c:pt>
                <c:pt idx="65" formatCode="0.0000">
                  <c:v>60.619047619047613</c:v>
                </c:pt>
                <c:pt idx="66" formatCode="0.0000">
                  <c:v>61.785714285714285</c:v>
                </c:pt>
                <c:pt idx="67" formatCode="0.0000">
                  <c:v>62.095238095238095</c:v>
                </c:pt>
                <c:pt idx="68" formatCode="0.0000">
                  <c:v>62.523809523809526</c:v>
                </c:pt>
                <c:pt idx="69" formatCode="0.0000">
                  <c:v>61.738095238095234</c:v>
                </c:pt>
                <c:pt idx="70" formatCode="0.0000">
                  <c:v>62.095238095238095</c:v>
                </c:pt>
                <c:pt idx="71" formatCode="0.0000">
                  <c:v>60.904761904761912</c:v>
                </c:pt>
                <c:pt idx="72" formatCode="0.0000">
                  <c:v>59.619047619047628</c:v>
                </c:pt>
                <c:pt idx="73" formatCode="0.0000">
                  <c:v>58.999999999999993</c:v>
                </c:pt>
                <c:pt idx="74" formatCode="0.0000">
                  <c:v>58.023809523809518</c:v>
                </c:pt>
                <c:pt idx="75" formatCode="0.0000">
                  <c:v>58.023809523809518</c:v>
                </c:pt>
                <c:pt idx="76" formatCode="0.0000">
                  <c:v>59.047619047619044</c:v>
                </c:pt>
                <c:pt idx="77" formatCode="0.0000">
                  <c:v>58.404761904761912</c:v>
                </c:pt>
                <c:pt idx="78" formatCode="0.0000">
                  <c:v>59.523809523809526</c:v>
                </c:pt>
                <c:pt idx="79" formatCode="0.0000">
                  <c:v>59.642857142857153</c:v>
                </c:pt>
                <c:pt idx="80" formatCode="0.0000">
                  <c:v>59.214285714285715</c:v>
                </c:pt>
                <c:pt idx="81" formatCode="0.0000">
                  <c:v>58.285714285714278</c:v>
                </c:pt>
                <c:pt idx="82" formatCode="0.0000">
                  <c:v>57.380952380952372</c:v>
                </c:pt>
                <c:pt idx="83" formatCode="0.0000">
                  <c:v>56.190476190476197</c:v>
                </c:pt>
                <c:pt idx="84" formatCode="0.0000">
                  <c:v>55.214285714285715</c:v>
                </c:pt>
                <c:pt idx="85" formatCode="0.0000">
                  <c:v>52.714285714285715</c:v>
                </c:pt>
                <c:pt idx="86" formatCode="0.0000">
                  <c:v>51.238095238095234</c:v>
                </c:pt>
                <c:pt idx="87" formatCode="0.0000">
                  <c:v>48.523809523809518</c:v>
                </c:pt>
                <c:pt idx="88" formatCode="0.0000">
                  <c:v>46.642857142857146</c:v>
                </c:pt>
                <c:pt idx="89" formatCode="0.0000">
                  <c:v>44.523809523809526</c:v>
                </c:pt>
                <c:pt idx="90" formatCode="0.0000">
                  <c:v>41.857142857142854</c:v>
                </c:pt>
                <c:pt idx="91" formatCode="0.0000">
                  <c:v>39.690476190476197</c:v>
                </c:pt>
                <c:pt idx="92" formatCode="0.0000">
                  <c:v>37.904761904761912</c:v>
                </c:pt>
                <c:pt idx="93" formatCode="0.0000">
                  <c:v>36.928571428571431</c:v>
                </c:pt>
                <c:pt idx="94" formatCode="0.0000">
                  <c:v>37.071428571428569</c:v>
                </c:pt>
                <c:pt idx="95" formatCode="0.0000">
                  <c:v>36.333333333333336</c:v>
                </c:pt>
                <c:pt idx="96" formatCode="0.0000">
                  <c:v>34.976190476190474</c:v>
                </c:pt>
                <c:pt idx="97" formatCode="0.0000">
                  <c:v>34.61904761904762</c:v>
                </c:pt>
                <c:pt idx="98" formatCode="0.0000">
                  <c:v>34.595238095238095</c:v>
                </c:pt>
                <c:pt idx="99" formatCode="0.0000">
                  <c:v>34.761904761904766</c:v>
                </c:pt>
                <c:pt idx="100" formatCode="0.0000">
                  <c:v>33.69047619047619</c:v>
                </c:pt>
                <c:pt idx="101" formatCode="0.0000">
                  <c:v>32.261904761904759</c:v>
                </c:pt>
                <c:pt idx="102" formatCode="0.0000">
                  <c:v>31.880952380952383</c:v>
                </c:pt>
                <c:pt idx="103" formatCode="0.0000">
                  <c:v>32.333333333333336</c:v>
                </c:pt>
                <c:pt idx="104" formatCode="0.0000">
                  <c:v>31.928571428571427</c:v>
                </c:pt>
                <c:pt idx="105" formatCode="0.0000">
                  <c:v>31.523809523809518</c:v>
                </c:pt>
                <c:pt idx="106" formatCode="0.0000">
                  <c:v>30.690476190476186</c:v>
                </c:pt>
                <c:pt idx="107" formatCode="0.0000">
                  <c:v>30.404761904761905</c:v>
                </c:pt>
                <c:pt idx="108" formatCode="0.0000">
                  <c:v>30.309523809523807</c:v>
                </c:pt>
                <c:pt idx="109" formatCode="0.0000">
                  <c:v>29.428571428571427</c:v>
                </c:pt>
                <c:pt idx="110" formatCode="0.0000">
                  <c:v>28.714285714285712</c:v>
                </c:pt>
                <c:pt idx="111" formatCode="0.0000">
                  <c:v>28.190476190476193</c:v>
                </c:pt>
                <c:pt idx="112" formatCode="0.0000">
                  <c:v>27.738095238095241</c:v>
                </c:pt>
                <c:pt idx="113" formatCode="0.0000">
                  <c:v>27.238095238095241</c:v>
                </c:pt>
                <c:pt idx="114" formatCode="0.0000">
                  <c:v>26.690476190476193</c:v>
                </c:pt>
                <c:pt idx="115" formatCode="0.0000">
                  <c:v>26.142857142857142</c:v>
                </c:pt>
                <c:pt idx="116" formatCode="0.0000">
                  <c:v>25.809523809523814</c:v>
                </c:pt>
                <c:pt idx="117" formatCode="0.0000">
                  <c:v>25.166666666666668</c:v>
                </c:pt>
                <c:pt idx="118" formatCode="0.0000">
                  <c:v>25.238095238095237</c:v>
                </c:pt>
                <c:pt idx="119" formatCode="0.0000">
                  <c:v>24.166666666666664</c:v>
                </c:pt>
                <c:pt idx="120" formatCode="0.0000">
                  <c:v>23.166666666666664</c:v>
                </c:pt>
                <c:pt idx="121" formatCode="0.0000">
                  <c:v>23.023809523809522</c:v>
                </c:pt>
                <c:pt idx="122" formatCode="0.0000">
                  <c:v>22.714285714285712</c:v>
                </c:pt>
                <c:pt idx="123" formatCode="0.0000">
                  <c:v>22.690476190476186</c:v>
                </c:pt>
                <c:pt idx="124" formatCode="0.0000">
                  <c:v>22.309523809523814</c:v>
                </c:pt>
                <c:pt idx="125" formatCode="0.0000">
                  <c:v>21.547619047619047</c:v>
                </c:pt>
                <c:pt idx="126" formatCode="0.0000">
                  <c:v>21.142857142857142</c:v>
                </c:pt>
                <c:pt idx="127" formatCode="0.0000">
                  <c:v>20.833333333333332</c:v>
                </c:pt>
                <c:pt idx="128" formatCode="0.0000">
                  <c:v>20.047619047619047</c:v>
                </c:pt>
                <c:pt idx="129" formatCode="0.0000">
                  <c:v>19.904761904761905</c:v>
                </c:pt>
                <c:pt idx="130" formatCode="0.0000">
                  <c:v>19.452380952380956</c:v>
                </c:pt>
                <c:pt idx="131" formatCode="0.0000">
                  <c:v>19.309523809523814</c:v>
                </c:pt>
                <c:pt idx="132" formatCode="0.0000">
                  <c:v>18.595238095238095</c:v>
                </c:pt>
                <c:pt idx="133" formatCode="0.0000">
                  <c:v>17.833333333333332</c:v>
                </c:pt>
                <c:pt idx="134" formatCode="0.0000">
                  <c:v>17.5</c:v>
                </c:pt>
                <c:pt idx="135" formatCode="0.0000">
                  <c:v>16.428571428571427</c:v>
                </c:pt>
                <c:pt idx="136" formatCode="0.0000">
                  <c:v>15.666666666666666</c:v>
                </c:pt>
                <c:pt idx="137" formatCode="0.0000">
                  <c:v>15.547619047619049</c:v>
                </c:pt>
                <c:pt idx="138" formatCode="0.0000">
                  <c:v>15.142857142857142</c:v>
                </c:pt>
                <c:pt idx="139" formatCode="0.0000">
                  <c:v>15.404761904761907</c:v>
                </c:pt>
                <c:pt idx="140" formatCode="0.0000">
                  <c:v>15.952380952380953</c:v>
                </c:pt>
                <c:pt idx="141" formatCode="0.0000">
                  <c:v>16.333333333333336</c:v>
                </c:pt>
                <c:pt idx="142" formatCode="0.0000">
                  <c:v>16.928571428571427</c:v>
                </c:pt>
                <c:pt idx="143" formatCode="0.0000">
                  <c:v>16.761904761904763</c:v>
                </c:pt>
                <c:pt idx="144" formatCode="0.0000">
                  <c:v>16.190476190476193</c:v>
                </c:pt>
                <c:pt idx="145" formatCode="0.0000">
                  <c:v>15.714285714285717</c:v>
                </c:pt>
                <c:pt idx="146" formatCode="0.0000">
                  <c:v>14.66666666666667</c:v>
                </c:pt>
                <c:pt idx="147" formatCode="0.0000">
                  <c:v>14</c:v>
                </c:pt>
                <c:pt idx="148" formatCode="0.0000">
                  <c:v>13.714285714285714</c:v>
                </c:pt>
                <c:pt idx="149">
                  <c:v>11.166666666666666</c:v>
                </c:pt>
                <c:pt idx="150">
                  <c:v>14</c:v>
                </c:pt>
                <c:pt idx="15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8-47D4-8E85-7708320B29B0}"/>
            </c:ext>
          </c:extLst>
        </c:ser>
        <c:ser>
          <c:idx val="1"/>
          <c:order val="1"/>
          <c:tx>
            <c:v>30 kV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'All Trials'!$AJ$4:$AJ$154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12.8</c:v>
                </c:pt>
                <c:pt idx="15">
                  <c:v>13</c:v>
                </c:pt>
                <c:pt idx="16">
                  <c:v>13.2</c:v>
                </c:pt>
                <c:pt idx="17">
                  <c:v>13.4</c:v>
                </c:pt>
                <c:pt idx="18">
                  <c:v>13.6</c:v>
                </c:pt>
                <c:pt idx="19">
                  <c:v>13.8</c:v>
                </c:pt>
                <c:pt idx="20">
                  <c:v>14</c:v>
                </c:pt>
                <c:pt idx="21">
                  <c:v>14.2</c:v>
                </c:pt>
                <c:pt idx="22">
                  <c:v>14.4</c:v>
                </c:pt>
                <c:pt idx="23">
                  <c:v>14.6</c:v>
                </c:pt>
                <c:pt idx="24">
                  <c:v>14.8</c:v>
                </c:pt>
                <c:pt idx="25">
                  <c:v>15</c:v>
                </c:pt>
                <c:pt idx="26">
                  <c:v>15.2</c:v>
                </c:pt>
                <c:pt idx="27">
                  <c:v>15.4</c:v>
                </c:pt>
                <c:pt idx="28">
                  <c:v>15.6</c:v>
                </c:pt>
                <c:pt idx="29">
                  <c:v>15.8</c:v>
                </c:pt>
                <c:pt idx="30">
                  <c:v>16</c:v>
                </c:pt>
                <c:pt idx="31">
                  <c:v>16.2</c:v>
                </c:pt>
                <c:pt idx="32">
                  <c:v>16.399999999999999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17</c:v>
                </c:pt>
                <c:pt idx="36">
                  <c:v>17.2</c:v>
                </c:pt>
                <c:pt idx="37">
                  <c:v>17.399999999999999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18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19</c:v>
                </c:pt>
                <c:pt idx="46">
                  <c:v>19.2</c:v>
                </c:pt>
                <c:pt idx="47">
                  <c:v>19.399999999999999</c:v>
                </c:pt>
                <c:pt idx="48">
                  <c:v>19.600000000000001</c:v>
                </c:pt>
                <c:pt idx="49">
                  <c:v>19.7</c:v>
                </c:pt>
                <c:pt idx="50">
                  <c:v>20</c:v>
                </c:pt>
                <c:pt idx="51">
                  <c:v>20.2</c:v>
                </c:pt>
                <c:pt idx="52">
                  <c:v>20.399999999999999</c:v>
                </c:pt>
                <c:pt idx="53">
                  <c:v>20.6</c:v>
                </c:pt>
                <c:pt idx="54">
                  <c:v>20.7</c:v>
                </c:pt>
                <c:pt idx="55">
                  <c:v>21</c:v>
                </c:pt>
                <c:pt idx="56">
                  <c:v>21.2</c:v>
                </c:pt>
                <c:pt idx="57">
                  <c:v>21.4</c:v>
                </c:pt>
                <c:pt idx="58">
                  <c:v>21.6</c:v>
                </c:pt>
                <c:pt idx="59">
                  <c:v>21.7</c:v>
                </c:pt>
                <c:pt idx="60">
                  <c:v>22</c:v>
                </c:pt>
                <c:pt idx="61">
                  <c:v>22.2</c:v>
                </c:pt>
                <c:pt idx="62">
                  <c:v>22.4</c:v>
                </c:pt>
                <c:pt idx="63">
                  <c:v>22.6</c:v>
                </c:pt>
                <c:pt idx="64">
                  <c:v>22.7</c:v>
                </c:pt>
                <c:pt idx="65">
                  <c:v>23</c:v>
                </c:pt>
                <c:pt idx="66">
                  <c:v>23.2</c:v>
                </c:pt>
                <c:pt idx="67">
                  <c:v>23.4</c:v>
                </c:pt>
                <c:pt idx="68">
                  <c:v>23.6</c:v>
                </c:pt>
                <c:pt idx="69">
                  <c:v>23.8</c:v>
                </c:pt>
                <c:pt idx="70">
                  <c:v>24</c:v>
                </c:pt>
                <c:pt idx="71">
                  <c:v>24.2</c:v>
                </c:pt>
                <c:pt idx="72">
                  <c:v>24.4</c:v>
                </c:pt>
                <c:pt idx="73">
                  <c:v>24.6</c:v>
                </c:pt>
                <c:pt idx="74">
                  <c:v>24.8</c:v>
                </c:pt>
                <c:pt idx="75">
                  <c:v>25</c:v>
                </c:pt>
                <c:pt idx="76">
                  <c:v>25.2</c:v>
                </c:pt>
                <c:pt idx="77">
                  <c:v>25.4</c:v>
                </c:pt>
                <c:pt idx="78">
                  <c:v>25.6</c:v>
                </c:pt>
                <c:pt idx="79">
                  <c:v>25.8</c:v>
                </c:pt>
                <c:pt idx="80">
                  <c:v>26</c:v>
                </c:pt>
                <c:pt idx="81">
                  <c:v>26.2</c:v>
                </c:pt>
                <c:pt idx="82">
                  <c:v>26.4</c:v>
                </c:pt>
                <c:pt idx="83">
                  <c:v>26.6</c:v>
                </c:pt>
                <c:pt idx="84">
                  <c:v>26.8</c:v>
                </c:pt>
                <c:pt idx="85">
                  <c:v>27</c:v>
                </c:pt>
                <c:pt idx="86">
                  <c:v>27.2</c:v>
                </c:pt>
                <c:pt idx="87">
                  <c:v>27.4</c:v>
                </c:pt>
                <c:pt idx="88">
                  <c:v>27.6</c:v>
                </c:pt>
                <c:pt idx="89">
                  <c:v>27.8</c:v>
                </c:pt>
                <c:pt idx="90">
                  <c:v>28</c:v>
                </c:pt>
                <c:pt idx="91">
                  <c:v>28.2</c:v>
                </c:pt>
                <c:pt idx="92">
                  <c:v>28.4</c:v>
                </c:pt>
                <c:pt idx="93">
                  <c:v>28.6</c:v>
                </c:pt>
                <c:pt idx="94">
                  <c:v>28.8</c:v>
                </c:pt>
                <c:pt idx="95">
                  <c:v>29</c:v>
                </c:pt>
                <c:pt idx="96">
                  <c:v>29.2</c:v>
                </c:pt>
                <c:pt idx="97">
                  <c:v>29.4</c:v>
                </c:pt>
                <c:pt idx="98">
                  <c:v>29.6</c:v>
                </c:pt>
                <c:pt idx="99">
                  <c:v>29.8</c:v>
                </c:pt>
                <c:pt idx="100">
                  <c:v>30</c:v>
                </c:pt>
                <c:pt idx="101">
                  <c:v>30.2</c:v>
                </c:pt>
                <c:pt idx="102">
                  <c:v>30.4</c:v>
                </c:pt>
                <c:pt idx="103">
                  <c:v>30.6</c:v>
                </c:pt>
                <c:pt idx="104">
                  <c:v>30.8</c:v>
                </c:pt>
                <c:pt idx="105">
                  <c:v>31</c:v>
                </c:pt>
                <c:pt idx="106">
                  <c:v>31.2</c:v>
                </c:pt>
                <c:pt idx="107">
                  <c:v>31.4</c:v>
                </c:pt>
                <c:pt idx="108">
                  <c:v>31.6</c:v>
                </c:pt>
                <c:pt idx="109">
                  <c:v>31.8</c:v>
                </c:pt>
                <c:pt idx="110">
                  <c:v>32</c:v>
                </c:pt>
                <c:pt idx="111">
                  <c:v>32.200000000000003</c:v>
                </c:pt>
                <c:pt idx="112">
                  <c:v>32.4</c:v>
                </c:pt>
                <c:pt idx="113">
                  <c:v>32.5</c:v>
                </c:pt>
                <c:pt idx="114">
                  <c:v>32.799999999999997</c:v>
                </c:pt>
                <c:pt idx="115">
                  <c:v>33</c:v>
                </c:pt>
                <c:pt idx="116">
                  <c:v>33.200000000000003</c:v>
                </c:pt>
                <c:pt idx="117">
                  <c:v>33.4</c:v>
                </c:pt>
                <c:pt idx="118">
                  <c:v>33.5</c:v>
                </c:pt>
                <c:pt idx="119">
                  <c:v>33.799999999999997</c:v>
                </c:pt>
                <c:pt idx="120">
                  <c:v>34</c:v>
                </c:pt>
                <c:pt idx="121">
                  <c:v>34.200000000000003</c:v>
                </c:pt>
                <c:pt idx="122">
                  <c:v>34.4</c:v>
                </c:pt>
                <c:pt idx="123">
                  <c:v>34.5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35.200000000000003</c:v>
                </c:pt>
                <c:pt idx="127">
                  <c:v>35.4</c:v>
                </c:pt>
                <c:pt idx="128">
                  <c:v>35.5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36.200000000000003</c:v>
                </c:pt>
                <c:pt idx="132">
                  <c:v>36.4</c:v>
                </c:pt>
                <c:pt idx="133">
                  <c:v>36.5</c:v>
                </c:pt>
                <c:pt idx="134">
                  <c:v>36.799999999999997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37.799999999999997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38.5</c:v>
                </c:pt>
                <c:pt idx="144">
                  <c:v>38.799999999999997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39.5</c:v>
                </c:pt>
                <c:pt idx="149">
                  <c:v>39.799999999999997</c:v>
                </c:pt>
                <c:pt idx="150">
                  <c:v>40</c:v>
                </c:pt>
              </c:numCache>
            </c:numRef>
          </c:xVal>
          <c:yVal>
            <c:numRef>
              <c:f>'All Trials'!$AP$3:$AP$154</c:f>
              <c:numCache>
                <c:formatCode>General</c:formatCode>
                <c:ptCount val="152"/>
                <c:pt idx="0">
                  <c:v>0</c:v>
                </c:pt>
                <c:pt idx="1">
                  <c:v>1.1666666666666667</c:v>
                </c:pt>
                <c:pt idx="2">
                  <c:v>1.1666666666666667</c:v>
                </c:pt>
                <c:pt idx="3">
                  <c:v>1.1666666666666667</c:v>
                </c:pt>
                <c:pt idx="4" formatCode="0.0000">
                  <c:v>1.4047619047619049</c:v>
                </c:pt>
                <c:pt idx="5" formatCode="0.0000">
                  <c:v>1.3809523809523812</c:v>
                </c:pt>
                <c:pt idx="6" formatCode="0.0000">
                  <c:v>1.3333333333333335</c:v>
                </c:pt>
                <c:pt idx="7" formatCode="0.0000">
                  <c:v>1.3095238095238098</c:v>
                </c:pt>
                <c:pt idx="8" formatCode="0.0000">
                  <c:v>1.5714285714285714</c:v>
                </c:pt>
                <c:pt idx="9" formatCode="0.0000">
                  <c:v>1.7619047619047621</c:v>
                </c:pt>
                <c:pt idx="10" formatCode="0.0000">
                  <c:v>2.0476190476190479</c:v>
                </c:pt>
                <c:pt idx="11" formatCode="0.0000">
                  <c:v>2.4523809523809521</c:v>
                </c:pt>
                <c:pt idx="12" formatCode="0.0000">
                  <c:v>3.1666666666666665</c:v>
                </c:pt>
                <c:pt idx="13" formatCode="0.0000">
                  <c:v>4.3095238095238102</c:v>
                </c:pt>
                <c:pt idx="14" formatCode="0.0000">
                  <c:v>5.7857142857142865</c:v>
                </c:pt>
                <c:pt idx="15" formatCode="0.0000">
                  <c:v>7.3571428571428585</c:v>
                </c:pt>
                <c:pt idx="16" formatCode="0.0000">
                  <c:v>9.4285714285714288</c:v>
                </c:pt>
                <c:pt idx="17" formatCode="0.0000">
                  <c:v>11.761904761904763</c:v>
                </c:pt>
                <c:pt idx="18" formatCode="0.0000">
                  <c:v>14.238095238095237</c:v>
                </c:pt>
                <c:pt idx="19" formatCode="0.0000">
                  <c:v>16.999999999999996</c:v>
                </c:pt>
                <c:pt idx="20" formatCode="0.0000">
                  <c:v>19.309523809523807</c:v>
                </c:pt>
                <c:pt idx="21" formatCode="0.0000">
                  <c:v>22.047619047619044</c:v>
                </c:pt>
                <c:pt idx="22" formatCode="0.0000">
                  <c:v>24.666666666666664</c:v>
                </c:pt>
                <c:pt idx="23" formatCode="0.0000">
                  <c:v>26.809523809523807</c:v>
                </c:pt>
                <c:pt idx="24" formatCode="0.0000">
                  <c:v>29.047619047619044</c:v>
                </c:pt>
                <c:pt idx="25" formatCode="0.0000">
                  <c:v>31.642857142857142</c:v>
                </c:pt>
                <c:pt idx="26" formatCode="0.0000">
                  <c:v>33.80952380952381</c:v>
                </c:pt>
                <c:pt idx="27" formatCode="0.0000">
                  <c:v>37.285714285714285</c:v>
                </c:pt>
                <c:pt idx="28" formatCode="0.0000">
                  <c:v>38.357142857142854</c:v>
                </c:pt>
                <c:pt idx="29" formatCode="0.0000">
                  <c:v>40.714285714285715</c:v>
                </c:pt>
                <c:pt idx="30" formatCode="0.0000">
                  <c:v>44.642857142857146</c:v>
                </c:pt>
                <c:pt idx="31" formatCode="0.0000">
                  <c:v>47.642857142857146</c:v>
                </c:pt>
                <c:pt idx="32" formatCode="0.0000">
                  <c:v>50.428571428571431</c:v>
                </c:pt>
                <c:pt idx="33" formatCode="0.0000">
                  <c:v>53.285714285714285</c:v>
                </c:pt>
                <c:pt idx="34" formatCode="0.0000">
                  <c:v>54.547619047619044</c:v>
                </c:pt>
                <c:pt idx="35" formatCode="0.0000">
                  <c:v>57.714285714285715</c:v>
                </c:pt>
                <c:pt idx="36" formatCode="0.0000">
                  <c:v>59.952380952380956</c:v>
                </c:pt>
                <c:pt idx="37" formatCode="0.0000">
                  <c:v>61.119047619047613</c:v>
                </c:pt>
                <c:pt idx="38" formatCode="0.0000">
                  <c:v>62.666666666666664</c:v>
                </c:pt>
                <c:pt idx="39" formatCode="0.0000">
                  <c:v>64.214285714285708</c:v>
                </c:pt>
                <c:pt idx="40" formatCode="0.0000">
                  <c:v>65.666666666666657</c:v>
                </c:pt>
                <c:pt idx="41" formatCode="0.0000">
                  <c:v>67.904761904761898</c:v>
                </c:pt>
                <c:pt idx="42" formatCode="0.0000">
                  <c:v>69.523809523809518</c:v>
                </c:pt>
                <c:pt idx="43" formatCode="0.0000">
                  <c:v>70.857142857142861</c:v>
                </c:pt>
                <c:pt idx="44" formatCode="0.0000">
                  <c:v>72.976190476190467</c:v>
                </c:pt>
                <c:pt idx="45" formatCode="0.0000">
                  <c:v>74.190476190476176</c:v>
                </c:pt>
                <c:pt idx="46" formatCode="0.0000">
                  <c:v>76.69047619047619</c:v>
                </c:pt>
                <c:pt idx="47" formatCode="0.0000">
                  <c:v>77.238095238095227</c:v>
                </c:pt>
                <c:pt idx="48" formatCode="0.0000">
                  <c:v>77.928571428571431</c:v>
                </c:pt>
                <c:pt idx="49" formatCode="0.0000">
                  <c:v>78.928571428571431</c:v>
                </c:pt>
                <c:pt idx="50" formatCode="0.0000">
                  <c:v>81.023809523809518</c:v>
                </c:pt>
                <c:pt idx="51" formatCode="0.0000">
                  <c:v>80.88095238095238</c:v>
                </c:pt>
                <c:pt idx="52" formatCode="0.0000">
                  <c:v>82.80952380952381</c:v>
                </c:pt>
                <c:pt idx="53" formatCode="0.0000">
                  <c:v>83.166666666666657</c:v>
                </c:pt>
                <c:pt idx="54" formatCode="0.0000">
                  <c:v>85.095238095238088</c:v>
                </c:pt>
                <c:pt idx="55" formatCode="0.0000">
                  <c:v>85.523809523809518</c:v>
                </c:pt>
                <c:pt idx="56" formatCode="0.0000">
                  <c:v>86.023809523809518</c:v>
                </c:pt>
                <c:pt idx="57" formatCode="0.0000">
                  <c:v>85.976190476190467</c:v>
                </c:pt>
                <c:pt idx="58" formatCode="0.0000">
                  <c:v>86.714285714285708</c:v>
                </c:pt>
                <c:pt idx="59" formatCode="0.0000">
                  <c:v>87.5</c:v>
                </c:pt>
                <c:pt idx="60" formatCode="0.0000">
                  <c:v>87.380952380952394</c:v>
                </c:pt>
                <c:pt idx="61" formatCode="0.0000">
                  <c:v>88.547619047619051</c:v>
                </c:pt>
                <c:pt idx="62" formatCode="0.0000">
                  <c:v>89.095238095238088</c:v>
                </c:pt>
                <c:pt idx="63" formatCode="0.0000">
                  <c:v>89.857142857142875</c:v>
                </c:pt>
                <c:pt idx="64" formatCode="0.0000">
                  <c:v>89.666666666666657</c:v>
                </c:pt>
                <c:pt idx="65" formatCode="0.0000">
                  <c:v>89.904761904761898</c:v>
                </c:pt>
                <c:pt idx="66" formatCode="0.0000">
                  <c:v>89.19047619047619</c:v>
                </c:pt>
                <c:pt idx="67" formatCode="0.0000">
                  <c:v>88.142857142857139</c:v>
                </c:pt>
                <c:pt idx="68" formatCode="0.0000">
                  <c:v>86.738095238095255</c:v>
                </c:pt>
                <c:pt idx="69" formatCode="0.0000">
                  <c:v>85.904761904761912</c:v>
                </c:pt>
                <c:pt idx="70" formatCode="0.0000">
                  <c:v>84.642857142857139</c:v>
                </c:pt>
                <c:pt idx="71" formatCode="0.0000">
                  <c:v>84.571428571428569</c:v>
                </c:pt>
                <c:pt idx="72" formatCode="0.0000">
                  <c:v>83.357142857142861</c:v>
                </c:pt>
                <c:pt idx="73" formatCode="0.0000">
                  <c:v>82.19047619047619</c:v>
                </c:pt>
                <c:pt idx="74" formatCode="0.0000">
                  <c:v>83.023809523809533</c:v>
                </c:pt>
                <c:pt idx="75" formatCode="0.0000">
                  <c:v>82.547619047619051</c:v>
                </c:pt>
                <c:pt idx="76" formatCode="0.0000">
                  <c:v>82.595238095238102</c:v>
                </c:pt>
                <c:pt idx="77" formatCode="0.0000">
                  <c:v>83</c:v>
                </c:pt>
                <c:pt idx="78" formatCode="0.0000">
                  <c:v>82.690476190476176</c:v>
                </c:pt>
                <c:pt idx="79" formatCode="0.0000">
                  <c:v>82.071428571428569</c:v>
                </c:pt>
                <c:pt idx="80" formatCode="0.0000">
                  <c:v>81.952380952380949</c:v>
                </c:pt>
                <c:pt idx="81" formatCode="0.0000">
                  <c:v>80.523809523809518</c:v>
                </c:pt>
                <c:pt idx="82" formatCode="0.0000">
                  <c:v>79.476190476190467</c:v>
                </c:pt>
                <c:pt idx="83" formatCode="0.0000">
                  <c:v>78.095238095238088</c:v>
                </c:pt>
                <c:pt idx="84" formatCode="0.0000">
                  <c:v>74.928571428571431</c:v>
                </c:pt>
                <c:pt idx="85" formatCode="0.0000">
                  <c:v>71.333333333333329</c:v>
                </c:pt>
                <c:pt idx="86" formatCode="0.0000">
                  <c:v>68.714285714285708</c:v>
                </c:pt>
                <c:pt idx="87" formatCode="0.0000">
                  <c:v>65.023809523809533</c:v>
                </c:pt>
                <c:pt idx="88" formatCode="0.0000">
                  <c:v>61.261904761904766</c:v>
                </c:pt>
                <c:pt idx="89" formatCode="0.0000">
                  <c:v>57.595238095238095</c:v>
                </c:pt>
                <c:pt idx="90" formatCode="0.0000">
                  <c:v>54.952380952380949</c:v>
                </c:pt>
                <c:pt idx="91" formatCode="0.0000">
                  <c:v>53.047619047619037</c:v>
                </c:pt>
                <c:pt idx="92" formatCode="0.0000">
                  <c:v>51.857142857142847</c:v>
                </c:pt>
                <c:pt idx="93" formatCode="0.0000">
                  <c:v>50.523809523809526</c:v>
                </c:pt>
                <c:pt idx="94" formatCode="0.0000">
                  <c:v>49.071428571428569</c:v>
                </c:pt>
                <c:pt idx="95" formatCode="0.0000">
                  <c:v>47.857142857142868</c:v>
                </c:pt>
                <c:pt idx="96" formatCode="0.0000">
                  <c:v>47.095238095238095</c:v>
                </c:pt>
                <c:pt idx="97" formatCode="0.0000">
                  <c:v>46.428571428571431</c:v>
                </c:pt>
                <c:pt idx="98" formatCode="0.0000">
                  <c:v>45.785714285714278</c:v>
                </c:pt>
                <c:pt idx="99" formatCode="0.0000">
                  <c:v>44.738095238095234</c:v>
                </c:pt>
                <c:pt idx="100" formatCode="0.0000">
                  <c:v>44.523809523809526</c:v>
                </c:pt>
                <c:pt idx="101" formatCode="0.0000">
                  <c:v>43.428571428571431</c:v>
                </c:pt>
                <c:pt idx="102" formatCode="0.0000">
                  <c:v>43.428571428571431</c:v>
                </c:pt>
                <c:pt idx="103" formatCode="0.0000">
                  <c:v>42.19047619047619</c:v>
                </c:pt>
                <c:pt idx="104" formatCode="0.0000">
                  <c:v>40.69047619047619</c:v>
                </c:pt>
                <c:pt idx="105" formatCode="0.0000">
                  <c:v>40.261904761904759</c:v>
                </c:pt>
                <c:pt idx="106" formatCode="0.0000">
                  <c:v>38.904761904761905</c:v>
                </c:pt>
                <c:pt idx="107" formatCode="0.0000">
                  <c:v>38.142857142857146</c:v>
                </c:pt>
                <c:pt idx="108" formatCode="0.0000">
                  <c:v>37.904761904761905</c:v>
                </c:pt>
                <c:pt idx="109" formatCode="0.0000">
                  <c:v>36.738095238095234</c:v>
                </c:pt>
                <c:pt idx="110" formatCode="0.0000">
                  <c:v>36.452380952380949</c:v>
                </c:pt>
                <c:pt idx="111" formatCode="0.0000">
                  <c:v>36.261904761904766</c:v>
                </c:pt>
                <c:pt idx="112" formatCode="0.0000">
                  <c:v>34.785714285714285</c:v>
                </c:pt>
                <c:pt idx="113" formatCode="0.0000">
                  <c:v>35</c:v>
                </c:pt>
                <c:pt idx="114" formatCode="0.0000">
                  <c:v>33.928571428571431</c:v>
                </c:pt>
                <c:pt idx="115" formatCode="0.0000">
                  <c:v>33.523809523809526</c:v>
                </c:pt>
                <c:pt idx="116" formatCode="0.0000">
                  <c:v>33.023809523809526</c:v>
                </c:pt>
                <c:pt idx="117" formatCode="0.0000">
                  <c:v>32.928571428571431</c:v>
                </c:pt>
                <c:pt idx="118" formatCode="0.0000">
                  <c:v>32.047619047619051</c:v>
                </c:pt>
                <c:pt idx="119" formatCode="0.0000">
                  <c:v>31.928571428571427</c:v>
                </c:pt>
                <c:pt idx="120" formatCode="0.0000">
                  <c:v>31.404761904761902</c:v>
                </c:pt>
                <c:pt idx="121" formatCode="0.0000">
                  <c:v>30.738095238095241</c:v>
                </c:pt>
                <c:pt idx="122" formatCode="0.0000">
                  <c:v>29.857142857142858</c:v>
                </c:pt>
                <c:pt idx="123" formatCode="0.0000">
                  <c:v>28.857142857142858</c:v>
                </c:pt>
                <c:pt idx="124" formatCode="0.0000">
                  <c:v>28.380952380952383</c:v>
                </c:pt>
                <c:pt idx="125" formatCode="0.0000">
                  <c:v>27.333333333333336</c:v>
                </c:pt>
                <c:pt idx="126" formatCode="0.0000">
                  <c:v>26.928571428571434</c:v>
                </c:pt>
                <c:pt idx="127" formatCode="0.0000">
                  <c:v>25.857142857142861</c:v>
                </c:pt>
                <c:pt idx="128" formatCode="0.0000">
                  <c:v>25.357142857142854</c:v>
                </c:pt>
                <c:pt idx="129" formatCode="0.0000">
                  <c:v>25.047619047619044</c:v>
                </c:pt>
                <c:pt idx="130" formatCode="0.0000">
                  <c:v>24.476190476190474</c:v>
                </c:pt>
                <c:pt idx="131" formatCode="0.0000">
                  <c:v>23.357142857142854</c:v>
                </c:pt>
                <c:pt idx="132" formatCode="0.0000">
                  <c:v>23.428571428571427</c:v>
                </c:pt>
                <c:pt idx="133" formatCode="0.0000">
                  <c:v>22.761904761904763</c:v>
                </c:pt>
                <c:pt idx="134" formatCode="0.0000">
                  <c:v>21.880952380952383</c:v>
                </c:pt>
                <c:pt idx="135" formatCode="0.0000">
                  <c:v>21.190476190476193</c:v>
                </c:pt>
                <c:pt idx="136" formatCode="0.0000">
                  <c:v>20.833333333333332</c:v>
                </c:pt>
                <c:pt idx="137" formatCode="0.0000">
                  <c:v>20.833333333333332</c:v>
                </c:pt>
                <c:pt idx="138" formatCode="0.0000">
                  <c:v>20.166666666666664</c:v>
                </c:pt>
                <c:pt idx="139" formatCode="0.0000">
                  <c:v>19.357142857142858</c:v>
                </c:pt>
                <c:pt idx="140" formatCode="0.0000">
                  <c:v>19.714285714285715</c:v>
                </c:pt>
                <c:pt idx="141" formatCode="0.0000">
                  <c:v>20.404761904761905</c:v>
                </c:pt>
                <c:pt idx="142" formatCode="0.0000">
                  <c:v>19.428571428571427</c:v>
                </c:pt>
                <c:pt idx="143" formatCode="0.0000">
                  <c:v>18.547619047619047</c:v>
                </c:pt>
                <c:pt idx="144" formatCode="0.0000">
                  <c:v>18.000000000000004</c:v>
                </c:pt>
                <c:pt idx="145" formatCode="0.0000">
                  <c:v>18.642857142857142</c:v>
                </c:pt>
                <c:pt idx="146" formatCode="0.0000">
                  <c:v>18.809523809523814</c:v>
                </c:pt>
                <c:pt idx="147" formatCode="0.0000">
                  <c:v>18.023809523809526</c:v>
                </c:pt>
                <c:pt idx="148" formatCode="0.0000">
                  <c:v>16.880952380952383</c:v>
                </c:pt>
                <c:pt idx="149">
                  <c:v>17.833333333333332</c:v>
                </c:pt>
                <c:pt idx="150">
                  <c:v>16.666666666666668</c:v>
                </c:pt>
                <c:pt idx="151">
                  <c:v>15.166666666666666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8-47D4-8E85-7708320B29B0}"/>
            </c:ext>
          </c:extLst>
        </c:ser>
        <c:ser>
          <c:idx val="2"/>
          <c:order val="2"/>
          <c:tx>
            <c:v>35 kV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'All Trials'!$AJ$4:$AJ$154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12.8</c:v>
                </c:pt>
                <c:pt idx="15">
                  <c:v>13</c:v>
                </c:pt>
                <c:pt idx="16">
                  <c:v>13.2</c:v>
                </c:pt>
                <c:pt idx="17">
                  <c:v>13.4</c:v>
                </c:pt>
                <c:pt idx="18">
                  <c:v>13.6</c:v>
                </c:pt>
                <c:pt idx="19">
                  <c:v>13.8</c:v>
                </c:pt>
                <c:pt idx="20">
                  <c:v>14</c:v>
                </c:pt>
                <c:pt idx="21">
                  <c:v>14.2</c:v>
                </c:pt>
                <c:pt idx="22">
                  <c:v>14.4</c:v>
                </c:pt>
                <c:pt idx="23">
                  <c:v>14.6</c:v>
                </c:pt>
                <c:pt idx="24">
                  <c:v>14.8</c:v>
                </c:pt>
                <c:pt idx="25">
                  <c:v>15</c:v>
                </c:pt>
                <c:pt idx="26">
                  <c:v>15.2</c:v>
                </c:pt>
                <c:pt idx="27">
                  <c:v>15.4</c:v>
                </c:pt>
                <c:pt idx="28">
                  <c:v>15.6</c:v>
                </c:pt>
                <c:pt idx="29">
                  <c:v>15.8</c:v>
                </c:pt>
                <c:pt idx="30">
                  <c:v>16</c:v>
                </c:pt>
                <c:pt idx="31">
                  <c:v>16.2</c:v>
                </c:pt>
                <c:pt idx="32">
                  <c:v>16.399999999999999</c:v>
                </c:pt>
                <c:pt idx="33">
                  <c:v>16.600000000000001</c:v>
                </c:pt>
                <c:pt idx="34">
                  <c:v>16.7</c:v>
                </c:pt>
                <c:pt idx="35">
                  <c:v>17</c:v>
                </c:pt>
                <c:pt idx="36">
                  <c:v>17.2</c:v>
                </c:pt>
                <c:pt idx="37">
                  <c:v>17.399999999999999</c:v>
                </c:pt>
                <c:pt idx="38">
                  <c:v>17.600000000000001</c:v>
                </c:pt>
                <c:pt idx="39">
                  <c:v>17.7</c:v>
                </c:pt>
                <c:pt idx="40">
                  <c:v>18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18.600000000000001</c:v>
                </c:pt>
                <c:pt idx="44">
                  <c:v>18.7</c:v>
                </c:pt>
                <c:pt idx="45">
                  <c:v>19</c:v>
                </c:pt>
                <c:pt idx="46">
                  <c:v>19.2</c:v>
                </c:pt>
                <c:pt idx="47">
                  <c:v>19.399999999999999</c:v>
                </c:pt>
                <c:pt idx="48">
                  <c:v>19.600000000000001</c:v>
                </c:pt>
                <c:pt idx="49">
                  <c:v>19.7</c:v>
                </c:pt>
                <c:pt idx="50">
                  <c:v>20</c:v>
                </c:pt>
                <c:pt idx="51">
                  <c:v>20.2</c:v>
                </c:pt>
                <c:pt idx="52">
                  <c:v>20.399999999999999</c:v>
                </c:pt>
                <c:pt idx="53">
                  <c:v>20.6</c:v>
                </c:pt>
                <c:pt idx="54">
                  <c:v>20.7</c:v>
                </c:pt>
                <c:pt idx="55">
                  <c:v>21</c:v>
                </c:pt>
                <c:pt idx="56">
                  <c:v>21.2</c:v>
                </c:pt>
                <c:pt idx="57">
                  <c:v>21.4</c:v>
                </c:pt>
                <c:pt idx="58">
                  <c:v>21.6</c:v>
                </c:pt>
                <c:pt idx="59">
                  <c:v>21.7</c:v>
                </c:pt>
                <c:pt idx="60">
                  <c:v>22</c:v>
                </c:pt>
                <c:pt idx="61">
                  <c:v>22.2</c:v>
                </c:pt>
                <c:pt idx="62">
                  <c:v>22.4</c:v>
                </c:pt>
                <c:pt idx="63">
                  <c:v>22.6</c:v>
                </c:pt>
                <c:pt idx="64">
                  <c:v>22.7</c:v>
                </c:pt>
                <c:pt idx="65">
                  <c:v>23</c:v>
                </c:pt>
                <c:pt idx="66">
                  <c:v>23.2</c:v>
                </c:pt>
                <c:pt idx="67">
                  <c:v>23.4</c:v>
                </c:pt>
                <c:pt idx="68">
                  <c:v>23.6</c:v>
                </c:pt>
                <c:pt idx="69">
                  <c:v>23.8</c:v>
                </c:pt>
                <c:pt idx="70">
                  <c:v>24</c:v>
                </c:pt>
                <c:pt idx="71">
                  <c:v>24.2</c:v>
                </c:pt>
                <c:pt idx="72">
                  <c:v>24.4</c:v>
                </c:pt>
                <c:pt idx="73">
                  <c:v>24.6</c:v>
                </c:pt>
                <c:pt idx="74">
                  <c:v>24.8</c:v>
                </c:pt>
                <c:pt idx="75">
                  <c:v>25</c:v>
                </c:pt>
                <c:pt idx="76">
                  <c:v>25.2</c:v>
                </c:pt>
                <c:pt idx="77">
                  <c:v>25.4</c:v>
                </c:pt>
                <c:pt idx="78">
                  <c:v>25.6</c:v>
                </c:pt>
                <c:pt idx="79">
                  <c:v>25.8</c:v>
                </c:pt>
                <c:pt idx="80">
                  <c:v>26</c:v>
                </c:pt>
                <c:pt idx="81">
                  <c:v>26.2</c:v>
                </c:pt>
                <c:pt idx="82">
                  <c:v>26.4</c:v>
                </c:pt>
                <c:pt idx="83">
                  <c:v>26.6</c:v>
                </c:pt>
                <c:pt idx="84">
                  <c:v>26.8</c:v>
                </c:pt>
                <c:pt idx="85">
                  <c:v>27</c:v>
                </c:pt>
                <c:pt idx="86">
                  <c:v>27.2</c:v>
                </c:pt>
                <c:pt idx="87">
                  <c:v>27.4</c:v>
                </c:pt>
                <c:pt idx="88">
                  <c:v>27.6</c:v>
                </c:pt>
                <c:pt idx="89">
                  <c:v>27.8</c:v>
                </c:pt>
                <c:pt idx="90">
                  <c:v>28</c:v>
                </c:pt>
                <c:pt idx="91">
                  <c:v>28.2</c:v>
                </c:pt>
                <c:pt idx="92">
                  <c:v>28.4</c:v>
                </c:pt>
                <c:pt idx="93">
                  <c:v>28.6</c:v>
                </c:pt>
                <c:pt idx="94">
                  <c:v>28.8</c:v>
                </c:pt>
                <c:pt idx="95">
                  <c:v>29</c:v>
                </c:pt>
                <c:pt idx="96">
                  <c:v>29.2</c:v>
                </c:pt>
                <c:pt idx="97">
                  <c:v>29.4</c:v>
                </c:pt>
                <c:pt idx="98">
                  <c:v>29.6</c:v>
                </c:pt>
                <c:pt idx="99">
                  <c:v>29.8</c:v>
                </c:pt>
                <c:pt idx="100">
                  <c:v>30</c:v>
                </c:pt>
                <c:pt idx="101">
                  <c:v>30.2</c:v>
                </c:pt>
                <c:pt idx="102">
                  <c:v>30.4</c:v>
                </c:pt>
                <c:pt idx="103">
                  <c:v>30.6</c:v>
                </c:pt>
                <c:pt idx="104">
                  <c:v>30.8</c:v>
                </c:pt>
                <c:pt idx="105">
                  <c:v>31</c:v>
                </c:pt>
                <c:pt idx="106">
                  <c:v>31.2</c:v>
                </c:pt>
                <c:pt idx="107">
                  <c:v>31.4</c:v>
                </c:pt>
                <c:pt idx="108">
                  <c:v>31.6</c:v>
                </c:pt>
                <c:pt idx="109">
                  <c:v>31.8</c:v>
                </c:pt>
                <c:pt idx="110">
                  <c:v>32</c:v>
                </c:pt>
                <c:pt idx="111">
                  <c:v>32.200000000000003</c:v>
                </c:pt>
                <c:pt idx="112">
                  <c:v>32.4</c:v>
                </c:pt>
                <c:pt idx="113">
                  <c:v>32.5</c:v>
                </c:pt>
                <c:pt idx="114">
                  <c:v>32.799999999999997</c:v>
                </c:pt>
                <c:pt idx="115">
                  <c:v>33</c:v>
                </c:pt>
                <c:pt idx="116">
                  <c:v>33.200000000000003</c:v>
                </c:pt>
                <c:pt idx="117">
                  <c:v>33.4</c:v>
                </c:pt>
                <c:pt idx="118">
                  <c:v>33.5</c:v>
                </c:pt>
                <c:pt idx="119">
                  <c:v>33.799999999999997</c:v>
                </c:pt>
                <c:pt idx="120">
                  <c:v>34</c:v>
                </c:pt>
                <c:pt idx="121">
                  <c:v>34.200000000000003</c:v>
                </c:pt>
                <c:pt idx="122">
                  <c:v>34.4</c:v>
                </c:pt>
                <c:pt idx="123">
                  <c:v>34.5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35.200000000000003</c:v>
                </c:pt>
                <c:pt idx="127">
                  <c:v>35.4</c:v>
                </c:pt>
                <c:pt idx="128">
                  <c:v>35.5</c:v>
                </c:pt>
                <c:pt idx="129">
                  <c:v>35.799999999999997</c:v>
                </c:pt>
                <c:pt idx="130">
                  <c:v>36</c:v>
                </c:pt>
                <c:pt idx="131">
                  <c:v>36.200000000000003</c:v>
                </c:pt>
                <c:pt idx="132">
                  <c:v>36.4</c:v>
                </c:pt>
                <c:pt idx="133">
                  <c:v>36.5</c:v>
                </c:pt>
                <c:pt idx="134">
                  <c:v>36.799999999999997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37.799999999999997</c:v>
                </c:pt>
                <c:pt idx="140">
                  <c:v>38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38.5</c:v>
                </c:pt>
                <c:pt idx="144">
                  <c:v>38.799999999999997</c:v>
                </c:pt>
                <c:pt idx="145">
                  <c:v>39</c:v>
                </c:pt>
                <c:pt idx="146">
                  <c:v>39.200000000000003</c:v>
                </c:pt>
                <c:pt idx="147">
                  <c:v>39.4</c:v>
                </c:pt>
                <c:pt idx="148">
                  <c:v>39.5</c:v>
                </c:pt>
                <c:pt idx="149">
                  <c:v>39.799999999999997</c:v>
                </c:pt>
                <c:pt idx="150">
                  <c:v>40</c:v>
                </c:pt>
              </c:numCache>
            </c:numRef>
          </c:xVal>
          <c:yVal>
            <c:numRef>
              <c:f>'All Trials'!$AQ$3:$AQ$154</c:f>
              <c:numCache>
                <c:formatCode>General</c:formatCode>
                <c:ptCount val="152"/>
                <c:pt idx="0">
                  <c:v>0</c:v>
                </c:pt>
                <c:pt idx="1">
                  <c:v>3.3333333333333335</c:v>
                </c:pt>
                <c:pt idx="2">
                  <c:v>4.833333333333333</c:v>
                </c:pt>
                <c:pt idx="3">
                  <c:v>4.5</c:v>
                </c:pt>
                <c:pt idx="4" formatCode="0.0000">
                  <c:v>5.5238095238095246</c:v>
                </c:pt>
                <c:pt idx="5" formatCode="0.0000">
                  <c:v>6.9047619047619051</c:v>
                </c:pt>
                <c:pt idx="6" formatCode="0.0000">
                  <c:v>8.6904761904761898</c:v>
                </c:pt>
                <c:pt idx="7" formatCode="0.0000">
                  <c:v>10.476190476190476</c:v>
                </c:pt>
                <c:pt idx="8" formatCode="0.0000">
                  <c:v>12.619047619047619</c:v>
                </c:pt>
                <c:pt idx="9" formatCode="0.0000">
                  <c:v>15.761904761904761</c:v>
                </c:pt>
                <c:pt idx="10" formatCode="0.0000">
                  <c:v>18.785714285714285</c:v>
                </c:pt>
                <c:pt idx="11" formatCode="0.0000">
                  <c:v>21.285714285714285</c:v>
                </c:pt>
                <c:pt idx="12" formatCode="0.0000">
                  <c:v>23.333333333333336</c:v>
                </c:pt>
                <c:pt idx="13" formatCode="0.0000">
                  <c:v>25.738095238095237</c:v>
                </c:pt>
                <c:pt idx="14" formatCode="0.0000">
                  <c:v>28.714285714285715</c:v>
                </c:pt>
                <c:pt idx="15" formatCode="0.0000">
                  <c:v>31.595238095238095</c:v>
                </c:pt>
                <c:pt idx="16" formatCode="0.0000">
                  <c:v>34.214285714285715</c:v>
                </c:pt>
                <c:pt idx="17" formatCode="0.0000">
                  <c:v>36.214285714285715</c:v>
                </c:pt>
                <c:pt idx="18" formatCode="0.0000">
                  <c:v>38.928571428571431</c:v>
                </c:pt>
                <c:pt idx="19" formatCode="0.0000">
                  <c:v>42.928571428571431</c:v>
                </c:pt>
                <c:pt idx="20" formatCode="0.0000">
                  <c:v>45.404761904761912</c:v>
                </c:pt>
                <c:pt idx="21" formatCode="0.0000">
                  <c:v>47.666666666666671</c:v>
                </c:pt>
                <c:pt idx="22" formatCode="0.0000">
                  <c:v>50.714285714285715</c:v>
                </c:pt>
                <c:pt idx="23" formatCode="0.0000">
                  <c:v>52.785714285714285</c:v>
                </c:pt>
                <c:pt idx="24" formatCode="0.0000">
                  <c:v>56.833333333333336</c:v>
                </c:pt>
                <c:pt idx="25" formatCode="0.0000">
                  <c:v>58.976190476190482</c:v>
                </c:pt>
                <c:pt idx="26" formatCode="0.0000">
                  <c:v>61.357142857142854</c:v>
                </c:pt>
                <c:pt idx="27" formatCode="0.0000">
                  <c:v>64.738095238095241</c:v>
                </c:pt>
                <c:pt idx="28" formatCode="0.0000">
                  <c:v>67.785714285714292</c:v>
                </c:pt>
                <c:pt idx="29" formatCode="0.0000">
                  <c:v>69.928571428571431</c:v>
                </c:pt>
                <c:pt idx="30" formatCode="0.0000">
                  <c:v>73.261904761904773</c:v>
                </c:pt>
                <c:pt idx="31" formatCode="0.0000">
                  <c:v>75.214285714285708</c:v>
                </c:pt>
                <c:pt idx="32" formatCode="0.0000">
                  <c:v>77.357142857142861</c:v>
                </c:pt>
                <c:pt idx="33" formatCode="0.0000">
                  <c:v>79.119047619047606</c:v>
                </c:pt>
                <c:pt idx="34" formatCode="0.0000">
                  <c:v>80.452380952380935</c:v>
                </c:pt>
                <c:pt idx="35" formatCode="0.0000">
                  <c:v>83.261904761904745</c:v>
                </c:pt>
                <c:pt idx="36" formatCode="0.0000">
                  <c:v>86.11904761904762</c:v>
                </c:pt>
                <c:pt idx="37" formatCode="0.0000">
                  <c:v>87.261904761904773</c:v>
                </c:pt>
                <c:pt idx="38" formatCode="0.0000">
                  <c:v>88.238095238095227</c:v>
                </c:pt>
                <c:pt idx="39" formatCode="0.0000">
                  <c:v>90.833333333333329</c:v>
                </c:pt>
                <c:pt idx="40" formatCode="0.0000">
                  <c:v>93.476190476190482</c:v>
                </c:pt>
                <c:pt idx="41" formatCode="0.0000">
                  <c:v>95.809523809523824</c:v>
                </c:pt>
                <c:pt idx="42" formatCode="0.0000">
                  <c:v>97.166666666666657</c:v>
                </c:pt>
                <c:pt idx="43" formatCode="0.0000">
                  <c:v>98.928571428571416</c:v>
                </c:pt>
                <c:pt idx="44" formatCode="0.0000">
                  <c:v>100.73809523809523</c:v>
                </c:pt>
                <c:pt idx="45" formatCode="0.0000">
                  <c:v>103.59523809523809</c:v>
                </c:pt>
                <c:pt idx="46" formatCode="0.0000">
                  <c:v>104.54761904761904</c:v>
                </c:pt>
                <c:pt idx="47" formatCode="0.0000">
                  <c:v>104.85714285714286</c:v>
                </c:pt>
                <c:pt idx="48" formatCode="0.0000">
                  <c:v>107.11904761904762</c:v>
                </c:pt>
                <c:pt idx="49" formatCode="0.0000">
                  <c:v>107.88095238095238</c:v>
                </c:pt>
                <c:pt idx="50" formatCode="0.0000">
                  <c:v>108.23809523809523</c:v>
                </c:pt>
                <c:pt idx="51" formatCode="0.0000">
                  <c:v>109.92857142857143</c:v>
                </c:pt>
                <c:pt idx="52" formatCode="0.0000">
                  <c:v>112.35714285714286</c:v>
                </c:pt>
                <c:pt idx="53" formatCode="0.0000">
                  <c:v>112.95238095238096</c:v>
                </c:pt>
                <c:pt idx="54" formatCode="0.0000">
                  <c:v>114.30952380952382</c:v>
                </c:pt>
                <c:pt idx="55" formatCode="0.0000">
                  <c:v>115.04761904761905</c:v>
                </c:pt>
                <c:pt idx="56" formatCode="0.0000">
                  <c:v>116.35714285714286</c:v>
                </c:pt>
                <c:pt idx="57" formatCode="0.0000">
                  <c:v>117.45238095238095</c:v>
                </c:pt>
                <c:pt idx="58" formatCode="0.0000">
                  <c:v>116.61904761904762</c:v>
                </c:pt>
                <c:pt idx="59" formatCode="0.0000">
                  <c:v>115.88095238095238</c:v>
                </c:pt>
                <c:pt idx="60" formatCode="0.0000">
                  <c:v>116.35714285714285</c:v>
                </c:pt>
                <c:pt idx="61" formatCode="0.0000">
                  <c:v>117.04761904761904</c:v>
                </c:pt>
                <c:pt idx="62" formatCode="0.0000">
                  <c:v>116.19047619047619</c:v>
                </c:pt>
                <c:pt idx="63" formatCode="0.0000">
                  <c:v>115.95238095238096</c:v>
                </c:pt>
                <c:pt idx="64" formatCode="0.0000">
                  <c:v>116.07142857142857</c:v>
                </c:pt>
                <c:pt idx="65" formatCode="0.0000">
                  <c:v>116.57142857142856</c:v>
                </c:pt>
                <c:pt idx="66" formatCode="0.0000">
                  <c:v>115.66666666666666</c:v>
                </c:pt>
                <c:pt idx="67" formatCode="0.0000">
                  <c:v>116.14285714285712</c:v>
                </c:pt>
                <c:pt idx="68" formatCode="0.0000">
                  <c:v>115.26190476190474</c:v>
                </c:pt>
                <c:pt idx="69" formatCode="0.0000">
                  <c:v>113.61904761904762</c:v>
                </c:pt>
                <c:pt idx="70" formatCode="0.0000">
                  <c:v>111.73809523809526</c:v>
                </c:pt>
                <c:pt idx="71" formatCode="0.0000">
                  <c:v>109.69047619047622</c:v>
                </c:pt>
                <c:pt idx="72" formatCode="0.0000">
                  <c:v>109.33333333333334</c:v>
                </c:pt>
                <c:pt idx="73" formatCode="0.0000">
                  <c:v>108</c:v>
                </c:pt>
                <c:pt idx="74" formatCode="0.0000">
                  <c:v>106.92857142857143</c:v>
                </c:pt>
                <c:pt idx="75" formatCode="0.0000">
                  <c:v>105.73809523809526</c:v>
                </c:pt>
                <c:pt idx="76" formatCode="0.0000">
                  <c:v>105.11904761904762</c:v>
                </c:pt>
                <c:pt idx="77" formatCode="0.0000">
                  <c:v>104.38095238095238</c:v>
                </c:pt>
                <c:pt idx="78" formatCode="0.0000">
                  <c:v>103.52380952380952</c:v>
                </c:pt>
                <c:pt idx="79" formatCode="0.0000">
                  <c:v>101.64285714285714</c:v>
                </c:pt>
                <c:pt idx="80" formatCode="0.0000">
                  <c:v>100.02380952380952</c:v>
                </c:pt>
                <c:pt idx="81" formatCode="0.0000">
                  <c:v>97.761904761904745</c:v>
                </c:pt>
                <c:pt idx="82" formatCode="0.0000">
                  <c:v>93.642857142857139</c:v>
                </c:pt>
                <c:pt idx="83" formatCode="0.0000">
                  <c:v>90.976190476190482</c:v>
                </c:pt>
                <c:pt idx="84" formatCode="0.0000">
                  <c:v>88.595238095238088</c:v>
                </c:pt>
                <c:pt idx="85" formatCode="0.0000">
                  <c:v>84.976190476190467</c:v>
                </c:pt>
                <c:pt idx="86" formatCode="0.0000">
                  <c:v>81.642857142857139</c:v>
                </c:pt>
                <c:pt idx="87" formatCode="0.0000">
                  <c:v>78.404761904761912</c:v>
                </c:pt>
                <c:pt idx="88" formatCode="0.0000">
                  <c:v>75.428571428571431</c:v>
                </c:pt>
                <c:pt idx="89" formatCode="0.0000">
                  <c:v>73.857142857142861</c:v>
                </c:pt>
                <c:pt idx="90" formatCode="0.0000">
                  <c:v>69.595238095238088</c:v>
                </c:pt>
                <c:pt idx="91" formatCode="0.0000">
                  <c:v>66.714285714285708</c:v>
                </c:pt>
                <c:pt idx="92" formatCode="0.0000">
                  <c:v>64.642857142857139</c:v>
                </c:pt>
                <c:pt idx="93" formatCode="0.0000">
                  <c:v>63.071428571428562</c:v>
                </c:pt>
                <c:pt idx="94" formatCode="0.0000">
                  <c:v>61.380952380952372</c:v>
                </c:pt>
                <c:pt idx="95" formatCode="0.0000">
                  <c:v>59.047619047619051</c:v>
                </c:pt>
                <c:pt idx="96" formatCode="0.0000">
                  <c:v>57.785714285714292</c:v>
                </c:pt>
                <c:pt idx="97" formatCode="0.0000">
                  <c:v>58.595238095238109</c:v>
                </c:pt>
                <c:pt idx="98" formatCode="0.0000">
                  <c:v>57.404761904761912</c:v>
                </c:pt>
                <c:pt idx="99" formatCode="0.0000">
                  <c:v>56.071428571428569</c:v>
                </c:pt>
                <c:pt idx="100" formatCode="0.0000">
                  <c:v>54.785714285714285</c:v>
                </c:pt>
                <c:pt idx="101" formatCode="0.0000">
                  <c:v>53.357142857142854</c:v>
                </c:pt>
                <c:pt idx="102" formatCode="0.0000">
                  <c:v>52.119047619047613</c:v>
                </c:pt>
                <c:pt idx="103" formatCode="0.0000">
                  <c:v>50.880952380952372</c:v>
                </c:pt>
                <c:pt idx="104" formatCode="0.0000">
                  <c:v>49.857142857142854</c:v>
                </c:pt>
                <c:pt idx="105" formatCode="0.0000">
                  <c:v>49.642857142857146</c:v>
                </c:pt>
                <c:pt idx="106" formatCode="0.0000">
                  <c:v>48.833333333333336</c:v>
                </c:pt>
                <c:pt idx="107" formatCode="0.0000">
                  <c:v>47.190476190476197</c:v>
                </c:pt>
                <c:pt idx="108" formatCode="0.0000">
                  <c:v>46.476190476190482</c:v>
                </c:pt>
                <c:pt idx="109" formatCode="0.0000">
                  <c:v>46.976190476190474</c:v>
                </c:pt>
                <c:pt idx="110" formatCode="0.0000">
                  <c:v>46</c:v>
                </c:pt>
                <c:pt idx="111" formatCode="0.0000">
                  <c:v>45.095238095238095</c:v>
                </c:pt>
                <c:pt idx="112" formatCode="0.0000">
                  <c:v>43.523809523809526</c:v>
                </c:pt>
                <c:pt idx="113" formatCode="0.0000">
                  <c:v>43.166666666666664</c:v>
                </c:pt>
                <c:pt idx="114" formatCode="0.0000">
                  <c:v>43.119047619047613</c:v>
                </c:pt>
                <c:pt idx="115" formatCode="0.0000">
                  <c:v>42.309523809523803</c:v>
                </c:pt>
                <c:pt idx="116" formatCode="0.0000">
                  <c:v>41.642857142857146</c:v>
                </c:pt>
                <c:pt idx="117" formatCode="0.0000">
                  <c:v>40.452380952380949</c:v>
                </c:pt>
                <c:pt idx="118" formatCode="0.0000">
                  <c:v>39.523809523809526</c:v>
                </c:pt>
                <c:pt idx="119" formatCode="0.0000">
                  <c:v>38.69047619047619</c:v>
                </c:pt>
                <c:pt idx="120" formatCode="0.0000">
                  <c:v>37.809523809523803</c:v>
                </c:pt>
                <c:pt idx="121" formatCode="0.0000">
                  <c:v>36.976190476190474</c:v>
                </c:pt>
                <c:pt idx="122" formatCode="0.0000">
                  <c:v>36.238095238095234</c:v>
                </c:pt>
                <c:pt idx="123" formatCode="0.0000">
                  <c:v>34.80952380952381</c:v>
                </c:pt>
                <c:pt idx="124" formatCode="0.0000">
                  <c:v>34.19047619047619</c:v>
                </c:pt>
                <c:pt idx="125" formatCode="0.0000">
                  <c:v>33.833333333333329</c:v>
                </c:pt>
                <c:pt idx="126" formatCode="0.0000">
                  <c:v>33.761904761904759</c:v>
                </c:pt>
                <c:pt idx="127" formatCode="0.0000">
                  <c:v>33.071428571428569</c:v>
                </c:pt>
                <c:pt idx="128" formatCode="0.0000">
                  <c:v>31.142857142857142</c:v>
                </c:pt>
                <c:pt idx="129" formatCode="0.0000">
                  <c:v>29.928571428571427</c:v>
                </c:pt>
                <c:pt idx="130" formatCode="0.0000">
                  <c:v>29.095238095238095</c:v>
                </c:pt>
                <c:pt idx="131" formatCode="0.0000">
                  <c:v>29</c:v>
                </c:pt>
                <c:pt idx="132" formatCode="0.0000">
                  <c:v>27.190476190476193</c:v>
                </c:pt>
                <c:pt idx="133" formatCode="0.0000">
                  <c:v>25.619047619047617</c:v>
                </c:pt>
                <c:pt idx="134" formatCode="0.0000">
                  <c:v>24.833333333333332</c:v>
                </c:pt>
                <c:pt idx="135" formatCode="0.0000">
                  <c:v>25.166666666666664</c:v>
                </c:pt>
                <c:pt idx="136" formatCode="0.0000">
                  <c:v>24.976190476190478</c:v>
                </c:pt>
                <c:pt idx="137" formatCode="0.0000">
                  <c:v>24.714285714285715</c:v>
                </c:pt>
                <c:pt idx="138" formatCode="0.0000">
                  <c:v>24.095238095238098</c:v>
                </c:pt>
                <c:pt idx="139" formatCode="0.0000">
                  <c:v>24.11904761904762</c:v>
                </c:pt>
                <c:pt idx="140" formatCode="0.0000">
                  <c:v>24.214285714285715</c:v>
                </c:pt>
                <c:pt idx="141" formatCode="0.0000">
                  <c:v>24.190476190476193</c:v>
                </c:pt>
                <c:pt idx="142" formatCode="0.0000">
                  <c:v>23.523809523809522</c:v>
                </c:pt>
                <c:pt idx="143" formatCode="0.0000">
                  <c:v>23.499999999999996</c:v>
                </c:pt>
                <c:pt idx="144" formatCode="0.0000">
                  <c:v>23.190476190476193</c:v>
                </c:pt>
                <c:pt idx="145" formatCode="0.0000">
                  <c:v>23.166666666666668</c:v>
                </c:pt>
                <c:pt idx="146" formatCode="0.0000">
                  <c:v>23</c:v>
                </c:pt>
                <c:pt idx="147" formatCode="0.0000">
                  <c:v>22.642857142857142</c:v>
                </c:pt>
                <c:pt idx="148" formatCode="0.0000">
                  <c:v>22.309523809523807</c:v>
                </c:pt>
                <c:pt idx="149">
                  <c:v>21</c:v>
                </c:pt>
                <c:pt idx="150">
                  <c:v>21.833333333333332</c:v>
                </c:pt>
                <c:pt idx="151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A8-47D4-8E85-7708320B2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888000"/>
        <c:axId val="877888480"/>
      </c:scatterChart>
      <c:valAx>
        <c:axId val="87788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Detector</a:t>
                </a:r>
                <a:r>
                  <a:rPr lang="en-IN" b="1" baseline="0"/>
                  <a:t> Angle (degrees)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888480"/>
        <c:crosses val="autoZero"/>
        <c:crossBetween val="midCat"/>
      </c:valAx>
      <c:valAx>
        <c:axId val="8778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 Impulse/s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88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566427748328604E-3"/>
                  <c:y val="-0.166051865055212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Trials'!$AJ$25:$AJ$72</c:f>
              <c:numCache>
                <c:formatCode>General</c:formatCode>
                <c:ptCount val="48"/>
                <c:pt idx="0">
                  <c:v>14.2</c:v>
                </c:pt>
                <c:pt idx="1">
                  <c:v>14.4</c:v>
                </c:pt>
                <c:pt idx="2">
                  <c:v>14.6</c:v>
                </c:pt>
                <c:pt idx="3">
                  <c:v>14.8</c:v>
                </c:pt>
                <c:pt idx="4">
                  <c:v>15</c:v>
                </c:pt>
                <c:pt idx="5">
                  <c:v>15.2</c:v>
                </c:pt>
                <c:pt idx="6">
                  <c:v>15.4</c:v>
                </c:pt>
                <c:pt idx="7">
                  <c:v>15.6</c:v>
                </c:pt>
                <c:pt idx="8">
                  <c:v>15.8</c:v>
                </c:pt>
                <c:pt idx="9">
                  <c:v>16</c:v>
                </c:pt>
                <c:pt idx="10">
                  <c:v>16.2</c:v>
                </c:pt>
                <c:pt idx="11">
                  <c:v>16.399999999999999</c:v>
                </c:pt>
                <c:pt idx="12">
                  <c:v>16.600000000000001</c:v>
                </c:pt>
                <c:pt idx="13">
                  <c:v>16.7</c:v>
                </c:pt>
                <c:pt idx="14">
                  <c:v>17</c:v>
                </c:pt>
                <c:pt idx="15">
                  <c:v>17.2</c:v>
                </c:pt>
                <c:pt idx="16">
                  <c:v>17.399999999999999</c:v>
                </c:pt>
                <c:pt idx="17">
                  <c:v>17.600000000000001</c:v>
                </c:pt>
                <c:pt idx="18">
                  <c:v>17.7</c:v>
                </c:pt>
                <c:pt idx="19">
                  <c:v>18</c:v>
                </c:pt>
                <c:pt idx="20">
                  <c:v>18.2</c:v>
                </c:pt>
                <c:pt idx="21">
                  <c:v>18.399999999999999</c:v>
                </c:pt>
                <c:pt idx="22">
                  <c:v>18.600000000000001</c:v>
                </c:pt>
                <c:pt idx="23">
                  <c:v>18.7</c:v>
                </c:pt>
                <c:pt idx="24">
                  <c:v>19</c:v>
                </c:pt>
                <c:pt idx="25">
                  <c:v>19.2</c:v>
                </c:pt>
                <c:pt idx="26">
                  <c:v>19.399999999999999</c:v>
                </c:pt>
                <c:pt idx="27">
                  <c:v>19.600000000000001</c:v>
                </c:pt>
                <c:pt idx="28">
                  <c:v>19.7</c:v>
                </c:pt>
                <c:pt idx="29">
                  <c:v>20</c:v>
                </c:pt>
                <c:pt idx="30">
                  <c:v>20.2</c:v>
                </c:pt>
                <c:pt idx="31">
                  <c:v>20.399999999999999</c:v>
                </c:pt>
                <c:pt idx="32">
                  <c:v>20.6</c:v>
                </c:pt>
                <c:pt idx="33">
                  <c:v>20.7</c:v>
                </c:pt>
                <c:pt idx="34">
                  <c:v>21</c:v>
                </c:pt>
                <c:pt idx="35">
                  <c:v>21.2</c:v>
                </c:pt>
                <c:pt idx="36">
                  <c:v>21.4</c:v>
                </c:pt>
                <c:pt idx="37">
                  <c:v>21.6</c:v>
                </c:pt>
                <c:pt idx="38">
                  <c:v>21.7</c:v>
                </c:pt>
                <c:pt idx="39">
                  <c:v>22</c:v>
                </c:pt>
                <c:pt idx="40">
                  <c:v>22.2</c:v>
                </c:pt>
                <c:pt idx="41">
                  <c:v>22.4</c:v>
                </c:pt>
                <c:pt idx="42">
                  <c:v>22.6</c:v>
                </c:pt>
                <c:pt idx="43">
                  <c:v>22.7</c:v>
                </c:pt>
                <c:pt idx="44">
                  <c:v>23</c:v>
                </c:pt>
                <c:pt idx="45">
                  <c:v>23.2</c:v>
                </c:pt>
                <c:pt idx="46">
                  <c:v>23.4</c:v>
                </c:pt>
                <c:pt idx="47">
                  <c:v>23.6</c:v>
                </c:pt>
              </c:numCache>
            </c:numRef>
          </c:xVal>
          <c:yVal>
            <c:numRef>
              <c:f>'All Trials'!$AO$25:$AO$72</c:f>
              <c:numCache>
                <c:formatCode>0.0000</c:formatCode>
                <c:ptCount val="48"/>
                <c:pt idx="0">
                  <c:v>0.9285714285714286</c:v>
                </c:pt>
                <c:pt idx="1">
                  <c:v>1.2857142857142858</c:v>
                </c:pt>
                <c:pt idx="2">
                  <c:v>2.2857142857142856</c:v>
                </c:pt>
                <c:pt idx="3">
                  <c:v>3.3809523809523809</c:v>
                </c:pt>
                <c:pt idx="4">
                  <c:v>4.8571428571428568</c:v>
                </c:pt>
                <c:pt idx="5">
                  <c:v>6.3571428571428568</c:v>
                </c:pt>
                <c:pt idx="6">
                  <c:v>8.5952380952380967</c:v>
                </c:pt>
                <c:pt idx="7">
                  <c:v>10.833333333333332</c:v>
                </c:pt>
                <c:pt idx="8">
                  <c:v>13.285714285714283</c:v>
                </c:pt>
                <c:pt idx="9">
                  <c:v>15.714285714285712</c:v>
                </c:pt>
                <c:pt idx="10">
                  <c:v>18.023809523809522</c:v>
                </c:pt>
                <c:pt idx="11">
                  <c:v>19.452380952380953</c:v>
                </c:pt>
                <c:pt idx="12">
                  <c:v>22.071428571428573</c:v>
                </c:pt>
                <c:pt idx="13">
                  <c:v>24.666666666666668</c:v>
                </c:pt>
                <c:pt idx="14">
                  <c:v>27.166666666666664</c:v>
                </c:pt>
                <c:pt idx="15">
                  <c:v>29.071428571428573</c:v>
                </c:pt>
                <c:pt idx="16">
                  <c:v>30.928571428571427</c:v>
                </c:pt>
                <c:pt idx="17">
                  <c:v>32.976190476190474</c:v>
                </c:pt>
                <c:pt idx="18">
                  <c:v>35.595238095238095</c:v>
                </c:pt>
                <c:pt idx="19">
                  <c:v>36.857142857142854</c:v>
                </c:pt>
                <c:pt idx="20">
                  <c:v>37.69047619047619</c:v>
                </c:pt>
                <c:pt idx="21">
                  <c:v>38.571428571428569</c:v>
                </c:pt>
                <c:pt idx="22">
                  <c:v>40.309523809523803</c:v>
                </c:pt>
                <c:pt idx="23">
                  <c:v>41.69047619047619</c:v>
                </c:pt>
                <c:pt idx="24">
                  <c:v>42.833333333333336</c:v>
                </c:pt>
                <c:pt idx="25">
                  <c:v>43.095238095238088</c:v>
                </c:pt>
                <c:pt idx="26">
                  <c:v>45.547619047619044</c:v>
                </c:pt>
                <c:pt idx="27">
                  <c:v>45.880952380952387</c:v>
                </c:pt>
                <c:pt idx="28">
                  <c:v>47.333333333333336</c:v>
                </c:pt>
                <c:pt idx="29">
                  <c:v>48.80952380952381</c:v>
                </c:pt>
                <c:pt idx="30">
                  <c:v>50.119047619047628</c:v>
                </c:pt>
                <c:pt idx="31">
                  <c:v>51.261904761904759</c:v>
                </c:pt>
                <c:pt idx="32">
                  <c:v>53.5</c:v>
                </c:pt>
                <c:pt idx="33">
                  <c:v>53.428571428571431</c:v>
                </c:pt>
                <c:pt idx="34">
                  <c:v>55.976190476190474</c:v>
                </c:pt>
                <c:pt idx="35">
                  <c:v>57.095238095238088</c:v>
                </c:pt>
                <c:pt idx="36">
                  <c:v>57.452380952380956</c:v>
                </c:pt>
                <c:pt idx="37">
                  <c:v>57.142857142857153</c:v>
                </c:pt>
                <c:pt idx="38">
                  <c:v>58.428571428571431</c:v>
                </c:pt>
                <c:pt idx="39">
                  <c:v>58.333333333333336</c:v>
                </c:pt>
                <c:pt idx="40">
                  <c:v>59.119047619047613</c:v>
                </c:pt>
                <c:pt idx="41">
                  <c:v>59.095238095238088</c:v>
                </c:pt>
                <c:pt idx="42">
                  <c:v>59.880952380952387</c:v>
                </c:pt>
                <c:pt idx="43">
                  <c:v>60.619047619047613</c:v>
                </c:pt>
                <c:pt idx="44">
                  <c:v>61.785714285714285</c:v>
                </c:pt>
                <c:pt idx="45">
                  <c:v>62.095238095238095</c:v>
                </c:pt>
                <c:pt idx="46">
                  <c:v>62.523809523809526</c:v>
                </c:pt>
                <c:pt idx="47">
                  <c:v>61.738095238095234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5-4E53-A56D-25CF978FE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82288"/>
        <c:axId val="839582768"/>
      </c:scatterChart>
      <c:valAx>
        <c:axId val="83958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582768"/>
        <c:crosses val="autoZero"/>
        <c:crossBetween val="midCat"/>
      </c:valAx>
      <c:valAx>
        <c:axId val="8395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58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Linear</a:t>
            </a:r>
            <a:r>
              <a:rPr lang="en-IN" b="1" baseline="0"/>
              <a:t> Extrapolation using rising edge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78708376944325E-2"/>
          <c:y val="0.12610529500189407"/>
          <c:w val="0.86331584537799755"/>
          <c:h val="0.75462283636052119"/>
        </c:manualLayout>
      </c:layout>
      <c:scatterChart>
        <c:scatterStyle val="lineMarker"/>
        <c:varyColors val="0"/>
        <c:ser>
          <c:idx val="0"/>
          <c:order val="0"/>
          <c:tx>
            <c:v>25 kV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318043826059589"/>
                  <c:y val="0.125454677516630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Trials'!$AJ$8:$AJ$72</c:f>
              <c:numCache>
                <c:formatCode>General</c:formatCode>
                <c:ptCount val="65"/>
                <c:pt idx="0">
                  <c:v>10.8</c:v>
                </c:pt>
                <c:pt idx="1">
                  <c:v>11</c:v>
                </c:pt>
                <c:pt idx="2">
                  <c:v>11.2</c:v>
                </c:pt>
                <c:pt idx="3">
                  <c:v>11.4</c:v>
                </c:pt>
                <c:pt idx="4">
                  <c:v>11.6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>
                  <c:v>12.4</c:v>
                </c:pt>
                <c:pt idx="9">
                  <c:v>12.6</c:v>
                </c:pt>
                <c:pt idx="10">
                  <c:v>12.8</c:v>
                </c:pt>
                <c:pt idx="11">
                  <c:v>13</c:v>
                </c:pt>
                <c:pt idx="12">
                  <c:v>13.2</c:v>
                </c:pt>
                <c:pt idx="13">
                  <c:v>13.4</c:v>
                </c:pt>
                <c:pt idx="14">
                  <c:v>13.6</c:v>
                </c:pt>
                <c:pt idx="15">
                  <c:v>13.8</c:v>
                </c:pt>
                <c:pt idx="16">
                  <c:v>14</c:v>
                </c:pt>
                <c:pt idx="17">
                  <c:v>14.2</c:v>
                </c:pt>
                <c:pt idx="18">
                  <c:v>14.4</c:v>
                </c:pt>
                <c:pt idx="19">
                  <c:v>14.6</c:v>
                </c:pt>
                <c:pt idx="20">
                  <c:v>14.8</c:v>
                </c:pt>
                <c:pt idx="21">
                  <c:v>15</c:v>
                </c:pt>
                <c:pt idx="22">
                  <c:v>15.2</c:v>
                </c:pt>
                <c:pt idx="23">
                  <c:v>15.4</c:v>
                </c:pt>
                <c:pt idx="24">
                  <c:v>15.6</c:v>
                </c:pt>
                <c:pt idx="25">
                  <c:v>15.8</c:v>
                </c:pt>
                <c:pt idx="26">
                  <c:v>16</c:v>
                </c:pt>
                <c:pt idx="27">
                  <c:v>16.2</c:v>
                </c:pt>
                <c:pt idx="28">
                  <c:v>16.399999999999999</c:v>
                </c:pt>
                <c:pt idx="29">
                  <c:v>16.600000000000001</c:v>
                </c:pt>
                <c:pt idx="30">
                  <c:v>16.7</c:v>
                </c:pt>
                <c:pt idx="31">
                  <c:v>17</c:v>
                </c:pt>
                <c:pt idx="32">
                  <c:v>17.2</c:v>
                </c:pt>
                <c:pt idx="33">
                  <c:v>17.399999999999999</c:v>
                </c:pt>
                <c:pt idx="34">
                  <c:v>17.600000000000001</c:v>
                </c:pt>
                <c:pt idx="35">
                  <c:v>17.7</c:v>
                </c:pt>
                <c:pt idx="36">
                  <c:v>18</c:v>
                </c:pt>
                <c:pt idx="37">
                  <c:v>18.2</c:v>
                </c:pt>
                <c:pt idx="38">
                  <c:v>18.399999999999999</c:v>
                </c:pt>
                <c:pt idx="39">
                  <c:v>18.600000000000001</c:v>
                </c:pt>
                <c:pt idx="40">
                  <c:v>18.7</c:v>
                </c:pt>
                <c:pt idx="41">
                  <c:v>19</c:v>
                </c:pt>
                <c:pt idx="42">
                  <c:v>19.2</c:v>
                </c:pt>
                <c:pt idx="43">
                  <c:v>19.399999999999999</c:v>
                </c:pt>
                <c:pt idx="44">
                  <c:v>19.600000000000001</c:v>
                </c:pt>
                <c:pt idx="45">
                  <c:v>19.7</c:v>
                </c:pt>
                <c:pt idx="46">
                  <c:v>20</c:v>
                </c:pt>
                <c:pt idx="47">
                  <c:v>20.2</c:v>
                </c:pt>
                <c:pt idx="48">
                  <c:v>20.399999999999999</c:v>
                </c:pt>
                <c:pt idx="49">
                  <c:v>20.6</c:v>
                </c:pt>
                <c:pt idx="50">
                  <c:v>20.7</c:v>
                </c:pt>
                <c:pt idx="51">
                  <c:v>21</c:v>
                </c:pt>
                <c:pt idx="52">
                  <c:v>21.2</c:v>
                </c:pt>
                <c:pt idx="53">
                  <c:v>21.4</c:v>
                </c:pt>
                <c:pt idx="54">
                  <c:v>21.6</c:v>
                </c:pt>
                <c:pt idx="55">
                  <c:v>21.7</c:v>
                </c:pt>
                <c:pt idx="56">
                  <c:v>22</c:v>
                </c:pt>
                <c:pt idx="57">
                  <c:v>22.2</c:v>
                </c:pt>
                <c:pt idx="58">
                  <c:v>22.4</c:v>
                </c:pt>
                <c:pt idx="59">
                  <c:v>22.6</c:v>
                </c:pt>
                <c:pt idx="60">
                  <c:v>22.7</c:v>
                </c:pt>
                <c:pt idx="61">
                  <c:v>23</c:v>
                </c:pt>
                <c:pt idx="62">
                  <c:v>23.2</c:v>
                </c:pt>
                <c:pt idx="63">
                  <c:v>23.4</c:v>
                </c:pt>
                <c:pt idx="64">
                  <c:v>23.6</c:v>
                </c:pt>
              </c:numCache>
            </c:numRef>
          </c:xVal>
          <c:yVal>
            <c:numRef>
              <c:f>'All Trials'!$AT$8:$AT$72</c:f>
              <c:numCache>
                <c:formatCode>General</c:formatCode>
                <c:ptCount val="65"/>
                <c:pt idx="19">
                  <c:v>1</c:v>
                </c:pt>
                <c:pt idx="20">
                  <c:v>1.6666666666666667</c:v>
                </c:pt>
                <c:pt idx="21">
                  <c:v>3.1666666666666665</c:v>
                </c:pt>
                <c:pt idx="22">
                  <c:v>7.333333333333333</c:v>
                </c:pt>
                <c:pt idx="23">
                  <c:v>8</c:v>
                </c:pt>
                <c:pt idx="24">
                  <c:v>11.833333333333334</c:v>
                </c:pt>
                <c:pt idx="25">
                  <c:v>11.5</c:v>
                </c:pt>
                <c:pt idx="26">
                  <c:v>16.666666666666668</c:v>
                </c:pt>
                <c:pt idx="27">
                  <c:v>17.333333333333332</c:v>
                </c:pt>
                <c:pt idx="28">
                  <c:v>20.333333333333332</c:v>
                </c:pt>
                <c:pt idx="29">
                  <c:v>24.333333333333332</c:v>
                </c:pt>
                <c:pt idx="30">
                  <c:v>24.166666666666668</c:v>
                </c:pt>
                <c:pt idx="31">
                  <c:v>21.833333333333332</c:v>
                </c:pt>
                <c:pt idx="32">
                  <c:v>29.833333333333332</c:v>
                </c:pt>
                <c:pt idx="33">
                  <c:v>34.833333333333336</c:v>
                </c:pt>
                <c:pt idx="34">
                  <c:v>34.833333333333336</c:v>
                </c:pt>
                <c:pt idx="35">
                  <c:v>33.666666666666664</c:v>
                </c:pt>
                <c:pt idx="36">
                  <c:v>37.333333333333336</c:v>
                </c:pt>
                <c:pt idx="37">
                  <c:v>38.5</c:v>
                </c:pt>
                <c:pt idx="38">
                  <c:v>40.166666666666664</c:v>
                </c:pt>
                <c:pt idx="39">
                  <c:v>38.666666666666664</c:v>
                </c:pt>
                <c:pt idx="40">
                  <c:v>40.666666666666664</c:v>
                </c:pt>
                <c:pt idx="41">
                  <c:v>41</c:v>
                </c:pt>
                <c:pt idx="42">
                  <c:v>45.833333333333336</c:v>
                </c:pt>
                <c:pt idx="43">
                  <c:v>47</c:v>
                </c:pt>
                <c:pt idx="44">
                  <c:v>46.5</c:v>
                </c:pt>
                <c:pt idx="45">
                  <c:v>42</c:v>
                </c:pt>
                <c:pt idx="46">
                  <c:v>55.833333333333336</c:v>
                </c:pt>
                <c:pt idx="47">
                  <c:v>43</c:v>
                </c:pt>
                <c:pt idx="48">
                  <c:v>51.166666666666664</c:v>
                </c:pt>
                <c:pt idx="49">
                  <c:v>56.166666666666664</c:v>
                </c:pt>
                <c:pt idx="50">
                  <c:v>56.166666666666664</c:v>
                </c:pt>
                <c:pt idx="51">
                  <c:v>54.5</c:v>
                </c:pt>
                <c:pt idx="52">
                  <c:v>57.666666666666664</c:v>
                </c:pt>
                <c:pt idx="53">
                  <c:v>55.333333333333336</c:v>
                </c:pt>
                <c:pt idx="54">
                  <c:v>60.833333333333336</c:v>
                </c:pt>
                <c:pt idx="55">
                  <c:v>59</c:v>
                </c:pt>
                <c:pt idx="56">
                  <c:v>58.666666666666664</c:v>
                </c:pt>
                <c:pt idx="57">
                  <c:v>54</c:v>
                </c:pt>
                <c:pt idx="58">
                  <c:v>63.5</c:v>
                </c:pt>
                <c:pt idx="59">
                  <c:v>57</c:v>
                </c:pt>
                <c:pt idx="60">
                  <c:v>60.833333333333336</c:v>
                </c:pt>
                <c:pt idx="61">
                  <c:v>60.666666666666664</c:v>
                </c:pt>
                <c:pt idx="62">
                  <c:v>64.5</c:v>
                </c:pt>
                <c:pt idx="63">
                  <c:v>63.833333333333336</c:v>
                </c:pt>
                <c:pt idx="64">
                  <c:v>62.166666666666664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D-40D9-9997-FA7FC82A1679}"/>
            </c:ext>
          </c:extLst>
        </c:ser>
        <c:ser>
          <c:idx val="1"/>
          <c:order val="1"/>
          <c:tx>
            <c:v>30 kV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1444268108094"/>
                  <c:y val="-2.89210765975627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Trials'!$AJ$8:$AJ$72</c:f>
              <c:numCache>
                <c:formatCode>General</c:formatCode>
                <c:ptCount val="65"/>
                <c:pt idx="0">
                  <c:v>10.8</c:v>
                </c:pt>
                <c:pt idx="1">
                  <c:v>11</c:v>
                </c:pt>
                <c:pt idx="2">
                  <c:v>11.2</c:v>
                </c:pt>
                <c:pt idx="3">
                  <c:v>11.4</c:v>
                </c:pt>
                <c:pt idx="4">
                  <c:v>11.6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>
                  <c:v>12.4</c:v>
                </c:pt>
                <c:pt idx="9">
                  <c:v>12.6</c:v>
                </c:pt>
                <c:pt idx="10">
                  <c:v>12.8</c:v>
                </c:pt>
                <c:pt idx="11">
                  <c:v>13</c:v>
                </c:pt>
                <c:pt idx="12">
                  <c:v>13.2</c:v>
                </c:pt>
                <c:pt idx="13">
                  <c:v>13.4</c:v>
                </c:pt>
                <c:pt idx="14">
                  <c:v>13.6</c:v>
                </c:pt>
                <c:pt idx="15">
                  <c:v>13.8</c:v>
                </c:pt>
                <c:pt idx="16">
                  <c:v>14</c:v>
                </c:pt>
                <c:pt idx="17">
                  <c:v>14.2</c:v>
                </c:pt>
                <c:pt idx="18">
                  <c:v>14.4</c:v>
                </c:pt>
                <c:pt idx="19">
                  <c:v>14.6</c:v>
                </c:pt>
                <c:pt idx="20">
                  <c:v>14.8</c:v>
                </c:pt>
                <c:pt idx="21">
                  <c:v>15</c:v>
                </c:pt>
                <c:pt idx="22">
                  <c:v>15.2</c:v>
                </c:pt>
                <c:pt idx="23">
                  <c:v>15.4</c:v>
                </c:pt>
                <c:pt idx="24">
                  <c:v>15.6</c:v>
                </c:pt>
                <c:pt idx="25">
                  <c:v>15.8</c:v>
                </c:pt>
                <c:pt idx="26">
                  <c:v>16</c:v>
                </c:pt>
                <c:pt idx="27">
                  <c:v>16.2</c:v>
                </c:pt>
                <c:pt idx="28">
                  <c:v>16.399999999999999</c:v>
                </c:pt>
                <c:pt idx="29">
                  <c:v>16.600000000000001</c:v>
                </c:pt>
                <c:pt idx="30">
                  <c:v>16.7</c:v>
                </c:pt>
                <c:pt idx="31">
                  <c:v>17</c:v>
                </c:pt>
                <c:pt idx="32">
                  <c:v>17.2</c:v>
                </c:pt>
                <c:pt idx="33">
                  <c:v>17.399999999999999</c:v>
                </c:pt>
                <c:pt idx="34">
                  <c:v>17.600000000000001</c:v>
                </c:pt>
                <c:pt idx="35">
                  <c:v>17.7</c:v>
                </c:pt>
                <c:pt idx="36">
                  <c:v>18</c:v>
                </c:pt>
                <c:pt idx="37">
                  <c:v>18.2</c:v>
                </c:pt>
                <c:pt idx="38">
                  <c:v>18.399999999999999</c:v>
                </c:pt>
                <c:pt idx="39">
                  <c:v>18.600000000000001</c:v>
                </c:pt>
                <c:pt idx="40">
                  <c:v>18.7</c:v>
                </c:pt>
                <c:pt idx="41">
                  <c:v>19</c:v>
                </c:pt>
                <c:pt idx="42">
                  <c:v>19.2</c:v>
                </c:pt>
                <c:pt idx="43">
                  <c:v>19.399999999999999</c:v>
                </c:pt>
                <c:pt idx="44">
                  <c:v>19.600000000000001</c:v>
                </c:pt>
                <c:pt idx="45">
                  <c:v>19.7</c:v>
                </c:pt>
                <c:pt idx="46">
                  <c:v>20</c:v>
                </c:pt>
                <c:pt idx="47">
                  <c:v>20.2</c:v>
                </c:pt>
                <c:pt idx="48">
                  <c:v>20.399999999999999</c:v>
                </c:pt>
                <c:pt idx="49">
                  <c:v>20.6</c:v>
                </c:pt>
                <c:pt idx="50">
                  <c:v>20.7</c:v>
                </c:pt>
                <c:pt idx="51">
                  <c:v>21</c:v>
                </c:pt>
                <c:pt idx="52">
                  <c:v>21.2</c:v>
                </c:pt>
                <c:pt idx="53">
                  <c:v>21.4</c:v>
                </c:pt>
                <c:pt idx="54">
                  <c:v>21.6</c:v>
                </c:pt>
                <c:pt idx="55">
                  <c:v>21.7</c:v>
                </c:pt>
                <c:pt idx="56">
                  <c:v>22</c:v>
                </c:pt>
                <c:pt idx="57">
                  <c:v>22.2</c:v>
                </c:pt>
                <c:pt idx="58">
                  <c:v>22.4</c:v>
                </c:pt>
                <c:pt idx="59">
                  <c:v>22.6</c:v>
                </c:pt>
                <c:pt idx="60">
                  <c:v>22.7</c:v>
                </c:pt>
                <c:pt idx="61">
                  <c:v>23</c:v>
                </c:pt>
                <c:pt idx="62">
                  <c:v>23.2</c:v>
                </c:pt>
                <c:pt idx="63">
                  <c:v>23.4</c:v>
                </c:pt>
                <c:pt idx="64">
                  <c:v>23.6</c:v>
                </c:pt>
              </c:numCache>
            </c:numRef>
          </c:xVal>
          <c:yVal>
            <c:numRef>
              <c:f>'All Trials'!$AU$8:$AU$72</c:f>
              <c:numCache>
                <c:formatCode>General</c:formatCode>
                <c:ptCount val="65"/>
                <c:pt idx="5">
                  <c:v>1</c:v>
                </c:pt>
                <c:pt idx="6">
                  <c:v>3.3333333333333335</c:v>
                </c:pt>
                <c:pt idx="7">
                  <c:v>2.8333333333333335</c:v>
                </c:pt>
                <c:pt idx="8">
                  <c:v>3.1666666666666665</c:v>
                </c:pt>
                <c:pt idx="9">
                  <c:v>5</c:v>
                </c:pt>
                <c:pt idx="10">
                  <c:v>6</c:v>
                </c:pt>
                <c:pt idx="11">
                  <c:v>8.8333333333333339</c:v>
                </c:pt>
                <c:pt idx="12">
                  <c:v>11.333333333333334</c:v>
                </c:pt>
                <c:pt idx="13">
                  <c:v>14.333333333333334</c:v>
                </c:pt>
                <c:pt idx="14">
                  <c:v>17.333333333333332</c:v>
                </c:pt>
                <c:pt idx="15">
                  <c:v>19.5</c:v>
                </c:pt>
                <c:pt idx="16">
                  <c:v>22.333333333333332</c:v>
                </c:pt>
                <c:pt idx="17">
                  <c:v>25.333333333333332</c:v>
                </c:pt>
                <c:pt idx="18">
                  <c:v>25</c:v>
                </c:pt>
                <c:pt idx="19">
                  <c:v>30.5</c:v>
                </c:pt>
                <c:pt idx="20">
                  <c:v>32.666666666666664</c:v>
                </c:pt>
                <c:pt idx="21">
                  <c:v>32.333333333333336</c:v>
                </c:pt>
                <c:pt idx="22">
                  <c:v>35.166666666666664</c:v>
                </c:pt>
                <c:pt idx="23">
                  <c:v>40.5</c:v>
                </c:pt>
                <c:pt idx="24">
                  <c:v>40.5</c:v>
                </c:pt>
                <c:pt idx="25">
                  <c:v>49.333333333333336</c:v>
                </c:pt>
                <c:pt idx="26">
                  <c:v>38</c:v>
                </c:pt>
                <c:pt idx="27">
                  <c:v>49.166666666666664</c:v>
                </c:pt>
                <c:pt idx="28">
                  <c:v>59.833333333333336</c:v>
                </c:pt>
                <c:pt idx="29">
                  <c:v>56.166666666666664</c:v>
                </c:pt>
                <c:pt idx="30">
                  <c:v>60</c:v>
                </c:pt>
                <c:pt idx="31">
                  <c:v>60.5</c:v>
                </c:pt>
                <c:pt idx="32">
                  <c:v>58.166666666666664</c:v>
                </c:pt>
                <c:pt idx="33">
                  <c:v>60.166666666666664</c:v>
                </c:pt>
                <c:pt idx="34">
                  <c:v>64.833333333333329</c:v>
                </c:pt>
                <c:pt idx="35">
                  <c:v>68</c:v>
                </c:pt>
                <c:pt idx="36">
                  <c:v>67</c:v>
                </c:pt>
                <c:pt idx="37">
                  <c:v>70.833333333333329</c:v>
                </c:pt>
                <c:pt idx="38">
                  <c:v>70.666666666666671</c:v>
                </c:pt>
                <c:pt idx="39">
                  <c:v>73.833333333333329</c:v>
                </c:pt>
                <c:pt idx="40">
                  <c:v>71.5</c:v>
                </c:pt>
                <c:pt idx="41">
                  <c:v>74.166666666666671</c:v>
                </c:pt>
                <c:pt idx="42">
                  <c:v>82.833333333333329</c:v>
                </c:pt>
                <c:pt idx="43">
                  <c:v>75.5</c:v>
                </c:pt>
                <c:pt idx="44">
                  <c:v>88.333333333333329</c:v>
                </c:pt>
                <c:pt idx="45">
                  <c:v>74.5</c:v>
                </c:pt>
                <c:pt idx="46">
                  <c:v>78.666666666666671</c:v>
                </c:pt>
                <c:pt idx="47">
                  <c:v>78.5</c:v>
                </c:pt>
                <c:pt idx="48">
                  <c:v>88.833333333333329</c:v>
                </c:pt>
                <c:pt idx="49">
                  <c:v>81.833333333333329</c:v>
                </c:pt>
                <c:pt idx="50">
                  <c:v>89</c:v>
                </c:pt>
                <c:pt idx="51">
                  <c:v>90.833333333333329</c:v>
                </c:pt>
                <c:pt idx="52">
                  <c:v>88</c:v>
                </c:pt>
                <c:pt idx="53">
                  <c:v>81.666666666666671</c:v>
                </c:pt>
                <c:pt idx="54">
                  <c:v>82</c:v>
                </c:pt>
                <c:pt idx="55">
                  <c:v>88.5</c:v>
                </c:pt>
                <c:pt idx="56">
                  <c:v>87</c:v>
                </c:pt>
                <c:pt idx="57">
                  <c:v>94.5</c:v>
                </c:pt>
                <c:pt idx="58">
                  <c:v>90</c:v>
                </c:pt>
                <c:pt idx="59">
                  <c:v>96.166666666666671</c:v>
                </c:pt>
                <c:pt idx="60">
                  <c:v>85.5</c:v>
                </c:pt>
                <c:pt idx="61">
                  <c:v>87.333333333333329</c:v>
                </c:pt>
                <c:pt idx="62">
                  <c:v>87.166666666666671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3D-40D9-9997-FA7FC82A1679}"/>
            </c:ext>
          </c:extLst>
        </c:ser>
        <c:ser>
          <c:idx val="2"/>
          <c:order val="2"/>
          <c:tx>
            <c:v>35 kV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Trials'!$AJ$8:$AJ$72</c:f>
              <c:numCache>
                <c:formatCode>General</c:formatCode>
                <c:ptCount val="65"/>
                <c:pt idx="0">
                  <c:v>10.8</c:v>
                </c:pt>
                <c:pt idx="1">
                  <c:v>11</c:v>
                </c:pt>
                <c:pt idx="2">
                  <c:v>11.2</c:v>
                </c:pt>
                <c:pt idx="3">
                  <c:v>11.4</c:v>
                </c:pt>
                <c:pt idx="4">
                  <c:v>11.6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>
                  <c:v>12.4</c:v>
                </c:pt>
                <c:pt idx="9">
                  <c:v>12.6</c:v>
                </c:pt>
                <c:pt idx="10">
                  <c:v>12.8</c:v>
                </c:pt>
                <c:pt idx="11">
                  <c:v>13</c:v>
                </c:pt>
                <c:pt idx="12">
                  <c:v>13.2</c:v>
                </c:pt>
                <c:pt idx="13">
                  <c:v>13.4</c:v>
                </c:pt>
                <c:pt idx="14">
                  <c:v>13.6</c:v>
                </c:pt>
                <c:pt idx="15">
                  <c:v>13.8</c:v>
                </c:pt>
                <c:pt idx="16">
                  <c:v>14</c:v>
                </c:pt>
                <c:pt idx="17">
                  <c:v>14.2</c:v>
                </c:pt>
                <c:pt idx="18">
                  <c:v>14.4</c:v>
                </c:pt>
                <c:pt idx="19">
                  <c:v>14.6</c:v>
                </c:pt>
                <c:pt idx="20">
                  <c:v>14.8</c:v>
                </c:pt>
                <c:pt idx="21">
                  <c:v>15</c:v>
                </c:pt>
                <c:pt idx="22">
                  <c:v>15.2</c:v>
                </c:pt>
                <c:pt idx="23">
                  <c:v>15.4</c:v>
                </c:pt>
                <c:pt idx="24">
                  <c:v>15.6</c:v>
                </c:pt>
                <c:pt idx="25">
                  <c:v>15.8</c:v>
                </c:pt>
                <c:pt idx="26">
                  <c:v>16</c:v>
                </c:pt>
                <c:pt idx="27">
                  <c:v>16.2</c:v>
                </c:pt>
                <c:pt idx="28">
                  <c:v>16.399999999999999</c:v>
                </c:pt>
                <c:pt idx="29">
                  <c:v>16.600000000000001</c:v>
                </c:pt>
                <c:pt idx="30">
                  <c:v>16.7</c:v>
                </c:pt>
                <c:pt idx="31">
                  <c:v>17</c:v>
                </c:pt>
                <c:pt idx="32">
                  <c:v>17.2</c:v>
                </c:pt>
                <c:pt idx="33">
                  <c:v>17.399999999999999</c:v>
                </c:pt>
                <c:pt idx="34">
                  <c:v>17.600000000000001</c:v>
                </c:pt>
                <c:pt idx="35">
                  <c:v>17.7</c:v>
                </c:pt>
                <c:pt idx="36">
                  <c:v>18</c:v>
                </c:pt>
                <c:pt idx="37">
                  <c:v>18.2</c:v>
                </c:pt>
                <c:pt idx="38">
                  <c:v>18.399999999999999</c:v>
                </c:pt>
                <c:pt idx="39">
                  <c:v>18.600000000000001</c:v>
                </c:pt>
                <c:pt idx="40">
                  <c:v>18.7</c:v>
                </c:pt>
                <c:pt idx="41">
                  <c:v>19</c:v>
                </c:pt>
                <c:pt idx="42">
                  <c:v>19.2</c:v>
                </c:pt>
                <c:pt idx="43">
                  <c:v>19.399999999999999</c:v>
                </c:pt>
                <c:pt idx="44">
                  <c:v>19.600000000000001</c:v>
                </c:pt>
                <c:pt idx="45">
                  <c:v>19.7</c:v>
                </c:pt>
                <c:pt idx="46">
                  <c:v>20</c:v>
                </c:pt>
                <c:pt idx="47">
                  <c:v>20.2</c:v>
                </c:pt>
                <c:pt idx="48">
                  <c:v>20.399999999999999</c:v>
                </c:pt>
                <c:pt idx="49">
                  <c:v>20.6</c:v>
                </c:pt>
                <c:pt idx="50">
                  <c:v>20.7</c:v>
                </c:pt>
                <c:pt idx="51">
                  <c:v>21</c:v>
                </c:pt>
                <c:pt idx="52">
                  <c:v>21.2</c:v>
                </c:pt>
                <c:pt idx="53">
                  <c:v>21.4</c:v>
                </c:pt>
                <c:pt idx="54">
                  <c:v>21.6</c:v>
                </c:pt>
                <c:pt idx="55">
                  <c:v>21.7</c:v>
                </c:pt>
                <c:pt idx="56">
                  <c:v>22</c:v>
                </c:pt>
                <c:pt idx="57">
                  <c:v>22.2</c:v>
                </c:pt>
                <c:pt idx="58">
                  <c:v>22.4</c:v>
                </c:pt>
                <c:pt idx="59">
                  <c:v>22.6</c:v>
                </c:pt>
                <c:pt idx="60">
                  <c:v>22.7</c:v>
                </c:pt>
                <c:pt idx="61">
                  <c:v>23</c:v>
                </c:pt>
                <c:pt idx="62">
                  <c:v>23.2</c:v>
                </c:pt>
                <c:pt idx="63">
                  <c:v>23.4</c:v>
                </c:pt>
                <c:pt idx="64">
                  <c:v>23.6</c:v>
                </c:pt>
              </c:numCache>
            </c:numRef>
          </c:xVal>
          <c:yVal>
            <c:numRef>
              <c:f>'All Trials'!$AV$8:$AV$72</c:f>
              <c:numCache>
                <c:formatCode>General</c:formatCode>
                <c:ptCount val="65"/>
                <c:pt idx="0">
                  <c:v>4.666666666666667</c:v>
                </c:pt>
                <c:pt idx="1">
                  <c:v>6.166666666666667</c:v>
                </c:pt>
                <c:pt idx="2">
                  <c:v>11.333333333333334</c:v>
                </c:pt>
                <c:pt idx="3">
                  <c:v>13</c:v>
                </c:pt>
                <c:pt idx="4">
                  <c:v>17.333333333333332</c:v>
                </c:pt>
                <c:pt idx="5">
                  <c:v>17</c:v>
                </c:pt>
                <c:pt idx="6">
                  <c:v>18.833333333333332</c:v>
                </c:pt>
                <c:pt idx="7">
                  <c:v>26.666666666666668</c:v>
                </c:pt>
                <c:pt idx="8">
                  <c:v>27.333333333333332</c:v>
                </c:pt>
                <c:pt idx="9">
                  <c:v>28.833333333333332</c:v>
                </c:pt>
                <c:pt idx="10">
                  <c:v>27.333333333333332</c:v>
                </c:pt>
                <c:pt idx="11">
                  <c:v>34.166666666666664</c:v>
                </c:pt>
                <c:pt idx="12">
                  <c:v>37.833333333333336</c:v>
                </c:pt>
                <c:pt idx="13">
                  <c:v>39</c:v>
                </c:pt>
                <c:pt idx="14">
                  <c:v>45</c:v>
                </c:pt>
                <c:pt idx="15">
                  <c:v>41.333333333333336</c:v>
                </c:pt>
                <c:pt idx="16">
                  <c:v>47.833333333333336</c:v>
                </c:pt>
                <c:pt idx="17">
                  <c:v>55.333333333333336</c:v>
                </c:pt>
                <c:pt idx="18">
                  <c:v>51.5</c:v>
                </c:pt>
                <c:pt idx="19">
                  <c:v>53.666666666666664</c:v>
                </c:pt>
                <c:pt idx="20">
                  <c:v>60.333333333333336</c:v>
                </c:pt>
                <c:pt idx="21">
                  <c:v>59.5</c:v>
                </c:pt>
                <c:pt idx="22">
                  <c:v>69.666666666666671</c:v>
                </c:pt>
                <c:pt idx="23">
                  <c:v>62.833333333333336</c:v>
                </c:pt>
                <c:pt idx="24">
                  <c:v>72</c:v>
                </c:pt>
                <c:pt idx="25">
                  <c:v>75.166666666666671</c:v>
                </c:pt>
                <c:pt idx="26">
                  <c:v>75</c:v>
                </c:pt>
                <c:pt idx="27">
                  <c:v>75.333333333333329</c:v>
                </c:pt>
                <c:pt idx="28">
                  <c:v>82.833333333333329</c:v>
                </c:pt>
                <c:pt idx="29">
                  <c:v>83.333333333333329</c:v>
                </c:pt>
                <c:pt idx="30">
                  <c:v>77.833333333333329</c:v>
                </c:pt>
                <c:pt idx="31">
                  <c:v>84.333333333333329</c:v>
                </c:pt>
                <c:pt idx="32">
                  <c:v>84.5</c:v>
                </c:pt>
                <c:pt idx="33">
                  <c:v>94.666666666666671</c:v>
                </c:pt>
                <c:pt idx="34">
                  <c:v>95.333333333333329</c:v>
                </c:pt>
                <c:pt idx="35">
                  <c:v>90.833333333333329</c:v>
                </c:pt>
                <c:pt idx="36">
                  <c:v>90.166666666666671</c:v>
                </c:pt>
                <c:pt idx="37">
                  <c:v>96</c:v>
                </c:pt>
                <c:pt idx="38">
                  <c:v>102.83333333333333</c:v>
                </c:pt>
                <c:pt idx="39">
                  <c:v>100.83333333333333</c:v>
                </c:pt>
                <c:pt idx="40">
                  <c:v>104.16666666666667</c:v>
                </c:pt>
                <c:pt idx="41">
                  <c:v>107.66666666666667</c:v>
                </c:pt>
                <c:pt idx="42">
                  <c:v>103.5</c:v>
                </c:pt>
                <c:pt idx="43">
                  <c:v>110.16666666666667</c:v>
                </c:pt>
                <c:pt idx="44">
                  <c:v>102.66666666666667</c:v>
                </c:pt>
                <c:pt idx="45">
                  <c:v>105</c:v>
                </c:pt>
                <c:pt idx="46">
                  <c:v>116.66666666666667</c:v>
                </c:pt>
                <c:pt idx="47">
                  <c:v>109.5</c:v>
                </c:pt>
                <c:pt idx="48">
                  <c:v>110.16666666666667</c:v>
                </c:pt>
                <c:pt idx="49">
                  <c:v>115.33333333333333</c:v>
                </c:pt>
                <c:pt idx="50">
                  <c:v>127.16666666666667</c:v>
                </c:pt>
                <c:pt idx="51">
                  <c:v>106.83333333333333</c:v>
                </c:pt>
                <c:pt idx="52">
                  <c:v>114.5</c:v>
                </c:pt>
                <c:pt idx="53">
                  <c:v>121.83333333333333</c:v>
                </c:pt>
                <c:pt idx="54">
                  <c:v>118.66666666666667</c:v>
                </c:pt>
                <c:pt idx="55">
                  <c:v>117.83333333333333</c:v>
                </c:pt>
                <c:pt idx="56">
                  <c:v>109.5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3D-40D9-9997-FA7FC82A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430224"/>
        <c:axId val="834068224"/>
      </c:scatterChart>
      <c:valAx>
        <c:axId val="975430224"/>
        <c:scaling>
          <c:orientation val="minMax"/>
          <c:min val="7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Detector</a:t>
                </a:r>
                <a:r>
                  <a:rPr lang="en-IN" b="1" baseline="0"/>
                  <a:t> Angle (2*theta)(in degrees)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068224"/>
        <c:crosses val="autoZero"/>
        <c:crossBetween val="midCat"/>
      </c:valAx>
      <c:valAx>
        <c:axId val="83406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Impulse/sec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43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1/V</a:t>
            </a:r>
            <a:r>
              <a:rPr lang="en-IN" b="1" baseline="0"/>
              <a:t> vs lambda</a:t>
            </a:r>
            <a:endParaRPr lang="en-IN" b="1"/>
          </a:p>
        </c:rich>
      </c:tx>
      <c:layout>
        <c:manualLayout>
          <c:xMode val="edge"/>
          <c:yMode val="edge"/>
          <c:x val="0.38467344706911638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8678937007874016"/>
          <c:y val="0.17171296296296296"/>
          <c:w val="0.75372462817147867"/>
          <c:h val="0.65975320793234182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32217847769029"/>
                  <c:y val="-0.176626932050160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2.7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Trials'!$BF$98:$BF$100</c:f>
              <c:numCache>
                <c:formatCode>General</c:formatCode>
                <c:ptCount val="3"/>
                <c:pt idx="0">
                  <c:v>3.4834832810982285E-11</c:v>
                </c:pt>
                <c:pt idx="1">
                  <c:v>3.9269747549233037E-11</c:v>
                </c:pt>
                <c:pt idx="2">
                  <c:v>4.7417193380978334E-11</c:v>
                </c:pt>
              </c:numCache>
            </c:numRef>
          </c:xVal>
          <c:yVal>
            <c:numRef>
              <c:f>'All Trials'!$BN$98:$BN$100</c:f>
              <c:numCache>
                <c:formatCode>General</c:formatCode>
                <c:ptCount val="3"/>
                <c:pt idx="0">
                  <c:v>2.8571428571428571E-5</c:v>
                </c:pt>
                <c:pt idx="1">
                  <c:v>3.3333333333333335E-5</c:v>
                </c:pt>
                <c:pt idx="2">
                  <c:v>4.0000000000000003E-5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1-4C53-AE2C-692333261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157215"/>
        <c:axId val="563150975"/>
      </c:scatterChart>
      <c:valAx>
        <c:axId val="563157215"/>
        <c:scaling>
          <c:orientation val="minMax"/>
          <c:min val="3.0000000000000019E-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Minimum Wavelength (m)</a:t>
                </a:r>
              </a:p>
            </c:rich>
          </c:tx>
          <c:layout>
            <c:manualLayout>
              <c:xMode val="edge"/>
              <c:yMode val="edge"/>
              <c:x val="0.41058223972003499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50975"/>
        <c:crosses val="autoZero"/>
        <c:crossBetween val="midCat"/>
      </c:valAx>
      <c:valAx>
        <c:axId val="563150975"/>
        <c:scaling>
          <c:orientation val="minMax"/>
          <c:min val="2.0000000000000008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1/V</a:t>
                </a:r>
                <a:r>
                  <a:rPr lang="en-IN" b="1" baseline="0"/>
                  <a:t> (V^-1)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1.9444444444444445E-2"/>
              <c:y val="0.3749460484106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5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1190134</xdr:colOff>
      <xdr:row>156</xdr:row>
      <xdr:rowOff>143071</xdr:rowOff>
    </xdr:from>
    <xdr:to>
      <xdr:col>7</xdr:col>
      <xdr:colOff>768873</xdr:colOff>
      <xdr:row>171</xdr:row>
      <xdr:rowOff>161336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03CB4-F901-EDD6-0844-C7AA38053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501705</xdr:colOff>
      <xdr:row>157</xdr:row>
      <xdr:rowOff>16433</xdr:rowOff>
    </xdr:from>
    <xdr:to>
      <xdr:col>41</xdr:col>
      <xdr:colOff>532906</xdr:colOff>
      <xdr:row>172</xdr:row>
      <xdr:rowOff>49935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556568-CED8-D2B4-03D1-494C322BE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586198</xdr:colOff>
      <xdr:row>157</xdr:row>
      <xdr:rowOff>123293</xdr:rowOff>
    </xdr:from>
    <xdr:to>
      <xdr:col>60</xdr:col>
      <xdr:colOff>630884</xdr:colOff>
      <xdr:row>172</xdr:row>
      <xdr:rowOff>132469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ED933F-0BE8-4827-4D38-88329DE50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148165</xdr:colOff>
      <xdr:row>157</xdr:row>
      <xdr:rowOff>17646</xdr:rowOff>
    </xdr:from>
    <xdr:to>
      <xdr:col>49</xdr:col>
      <xdr:colOff>192850</xdr:colOff>
      <xdr:row>172</xdr:row>
      <xdr:rowOff>26819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4D25B2-0617-22AF-E724-471B9D1FA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61</xdr:col>
      <xdr:colOff>124973</xdr:colOff>
      <xdr:row>158</xdr:row>
      <xdr:rowOff>3000</xdr:rowOff>
    </xdr:from>
    <xdr:to>
      <xdr:col>68</xdr:col>
      <xdr:colOff>143558</xdr:colOff>
      <xdr:row>173</xdr:row>
      <xdr:rowOff>45510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2DCF54-221F-DD88-CD02-F954E426D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405677</xdr:colOff>
      <xdr:row>81</xdr:row>
      <xdr:rowOff>103933</xdr:rowOff>
    </xdr:from>
    <xdr:to>
      <xdr:col>53</xdr:col>
      <xdr:colOff>118839</xdr:colOff>
      <xdr:row>101</xdr:row>
      <xdr:rowOff>166959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857D070-49D3-5478-B86A-6EA5736A4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61</xdr:col>
      <xdr:colOff>69365</xdr:colOff>
      <xdr:row>105</xdr:row>
      <xdr:rowOff>163271</xdr:rowOff>
    </xdr:from>
    <xdr:to>
      <xdr:col>67</xdr:col>
      <xdr:colOff>525944</xdr:colOff>
      <xdr:row>121</xdr:row>
      <xdr:rowOff>7558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F8B369-3146-C6B6-6485-ECD261590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4"/>
  <sheetViews>
    <sheetView tabSelected="1" topLeftCell="AE1" zoomScale="90" workbookViewId="0">
      <pane ySplit="3" topLeftCell="A4" activePane="bottomLeft" state="frozen"/>
      <selection pane="bottomLeft" activeCell="BF98" sqref="BF98"/>
    </sheetView>
  </sheetViews>
  <sheetFormatPr defaultRowHeight="14.25" x14ac:dyDescent="0.45"/>
  <cols>
    <col min="1" max="4" width="17" customWidth="1"/>
    <col min="5" max="5" width="2" customWidth="1"/>
    <col min="6" max="9" width="17" customWidth="1"/>
    <col min="10" max="10" width="2" customWidth="1"/>
    <col min="11" max="14" width="17" customWidth="1"/>
    <col min="15" max="15" width="2" customWidth="1"/>
    <col min="16" max="19" width="17" customWidth="1"/>
    <col min="20" max="20" width="2" customWidth="1"/>
    <col min="21" max="24" width="17" customWidth="1"/>
    <col min="25" max="25" width="2" customWidth="1"/>
    <col min="26" max="29" width="17" customWidth="1"/>
    <col min="30" max="30" width="2" customWidth="1"/>
    <col min="31" max="34" width="17" customWidth="1"/>
    <col min="36" max="39" width="9.1328125" bestFit="1" customWidth="1"/>
    <col min="41" max="43" width="9.1328125" bestFit="1" customWidth="1"/>
    <col min="46" max="47" width="9.1328125" bestFit="1" customWidth="1"/>
    <col min="49" max="50" width="9.1328125" bestFit="1" customWidth="1"/>
    <col min="56" max="56" width="10.6640625" bestFit="1" customWidth="1"/>
    <col min="58" max="58" width="11.796875" bestFit="1" customWidth="1"/>
    <col min="59" max="59" width="9.1328125" bestFit="1" customWidth="1"/>
    <col min="60" max="60" width="11.6640625" bestFit="1" customWidth="1"/>
    <col min="61" max="61" width="9.1328125" bestFit="1" customWidth="1"/>
    <col min="64" max="64" width="9.6640625" bestFit="1" customWidth="1"/>
    <col min="66" max="66" width="11.86328125" bestFit="1" customWidth="1"/>
    <col min="67" max="67" width="11.59765625" bestFit="1" customWidth="1"/>
    <col min="69" max="69" width="9.1328125" bestFit="1" customWidth="1"/>
  </cols>
  <sheetData>
    <row r="1" spans="1:51" ht="30" customHeight="1" x14ac:dyDescent="0.4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T1" s="10" t="s">
        <v>17</v>
      </c>
      <c r="AU1" s="10"/>
      <c r="AV1" s="10"/>
      <c r="AW1" s="10"/>
      <c r="AX1" s="10"/>
      <c r="AY1" s="10"/>
    </row>
    <row r="2" spans="1:51" ht="35" customHeight="1" x14ac:dyDescent="0.45">
      <c r="A2" s="11" t="s">
        <v>1</v>
      </c>
      <c r="B2" s="12"/>
      <c r="C2" s="12"/>
      <c r="D2" s="12"/>
      <c r="F2" s="11" t="s">
        <v>2</v>
      </c>
      <c r="G2" s="12"/>
      <c r="H2" s="12"/>
      <c r="I2" s="12"/>
      <c r="K2" s="11" t="s">
        <v>3</v>
      </c>
      <c r="L2" s="12"/>
      <c r="M2" s="12"/>
      <c r="N2" s="12"/>
      <c r="P2" s="11" t="s">
        <v>4</v>
      </c>
      <c r="Q2" s="12"/>
      <c r="R2" s="12"/>
      <c r="S2" s="12"/>
      <c r="U2" s="11" t="s">
        <v>5</v>
      </c>
      <c r="V2" s="12"/>
      <c r="W2" s="12"/>
      <c r="X2" s="12"/>
      <c r="Z2" s="11" t="s">
        <v>6</v>
      </c>
      <c r="AA2" s="12"/>
      <c r="AB2" s="12"/>
      <c r="AC2" s="12"/>
      <c r="AE2" s="11" t="s">
        <v>7</v>
      </c>
      <c r="AF2" s="12"/>
      <c r="AG2" s="12"/>
      <c r="AH2" s="12"/>
      <c r="AK2" s="10" t="s">
        <v>15</v>
      </c>
      <c r="AL2" s="10"/>
      <c r="AM2" s="10"/>
      <c r="AO2" s="10" t="s">
        <v>16</v>
      </c>
      <c r="AP2" s="10"/>
      <c r="AQ2" s="10"/>
      <c r="AT2" s="10" t="s">
        <v>20</v>
      </c>
      <c r="AU2" s="10"/>
      <c r="AV2" s="10"/>
      <c r="AW2" s="10" t="s">
        <v>21</v>
      </c>
      <c r="AX2" s="10"/>
      <c r="AY2" s="10"/>
    </row>
    <row r="3" spans="1:51" ht="35" customHeight="1" x14ac:dyDescent="0.45">
      <c r="A3" s="1" t="s">
        <v>8</v>
      </c>
      <c r="B3" s="1" t="s">
        <v>9</v>
      </c>
      <c r="C3" s="1" t="s">
        <v>10</v>
      </c>
      <c r="D3" s="1" t="s">
        <v>11</v>
      </c>
      <c r="F3" s="2" t="s">
        <v>8</v>
      </c>
      <c r="G3" s="2" t="s">
        <v>9</v>
      </c>
      <c r="H3" s="2" t="s">
        <v>10</v>
      </c>
      <c r="I3" s="2" t="s">
        <v>11</v>
      </c>
      <c r="K3" s="1" t="s">
        <v>8</v>
      </c>
      <c r="L3" s="1" t="s">
        <v>9</v>
      </c>
      <c r="M3" s="1" t="s">
        <v>10</v>
      </c>
      <c r="N3" s="1" t="s">
        <v>11</v>
      </c>
      <c r="P3" s="2" t="s">
        <v>8</v>
      </c>
      <c r="Q3" s="2" t="s">
        <v>9</v>
      </c>
      <c r="R3" s="2" t="s">
        <v>10</v>
      </c>
      <c r="S3" s="2" t="s">
        <v>11</v>
      </c>
      <c r="U3" s="1" t="s">
        <v>8</v>
      </c>
      <c r="V3" s="1" t="s">
        <v>9</v>
      </c>
      <c r="W3" s="1" t="s">
        <v>10</v>
      </c>
      <c r="X3" s="1" t="s">
        <v>11</v>
      </c>
      <c r="Z3" s="2" t="s">
        <v>8</v>
      </c>
      <c r="AA3" s="2" t="s">
        <v>9</v>
      </c>
      <c r="AB3" s="2" t="s">
        <v>10</v>
      </c>
      <c r="AC3" s="2" t="s">
        <v>11</v>
      </c>
      <c r="AE3" s="1" t="s">
        <v>8</v>
      </c>
      <c r="AF3" s="1" t="s">
        <v>9</v>
      </c>
      <c r="AG3" s="1" t="s">
        <v>10</v>
      </c>
      <c r="AH3" s="1" t="s">
        <v>11</v>
      </c>
      <c r="AJ3" s="8" t="s">
        <v>19</v>
      </c>
      <c r="AK3" s="4" t="s">
        <v>12</v>
      </c>
      <c r="AL3" s="4" t="s">
        <v>13</v>
      </c>
      <c r="AM3" s="4" t="s">
        <v>14</v>
      </c>
      <c r="AO3" s="4" t="s">
        <v>12</v>
      </c>
      <c r="AP3" s="4" t="s">
        <v>13</v>
      </c>
      <c r="AQ3" s="4" t="s">
        <v>14</v>
      </c>
      <c r="AT3" s="6" t="s">
        <v>18</v>
      </c>
      <c r="AU3" s="4" t="s">
        <v>13</v>
      </c>
      <c r="AV3" s="4" t="s">
        <v>14</v>
      </c>
      <c r="AW3" s="4" t="s">
        <v>12</v>
      </c>
      <c r="AX3" s="4" t="s">
        <v>13</v>
      </c>
      <c r="AY3" s="4" t="s">
        <v>14</v>
      </c>
    </row>
    <row r="4" spans="1:51" x14ac:dyDescent="0.45">
      <c r="A4" s="3">
        <v>10</v>
      </c>
      <c r="B4" s="3">
        <v>0</v>
      </c>
      <c r="C4" s="3">
        <v>1</v>
      </c>
      <c r="D4" s="3">
        <v>3</v>
      </c>
      <c r="F4" s="3">
        <v>10</v>
      </c>
      <c r="G4" s="3">
        <v>2</v>
      </c>
      <c r="H4" s="3">
        <v>3</v>
      </c>
      <c r="I4" s="3">
        <v>4</v>
      </c>
      <c r="K4" s="3">
        <v>10</v>
      </c>
      <c r="L4" s="3">
        <v>1</v>
      </c>
      <c r="M4" s="3">
        <v>0</v>
      </c>
      <c r="N4" s="3">
        <v>3</v>
      </c>
      <c r="P4" s="3">
        <v>10</v>
      </c>
      <c r="Q4" s="3">
        <v>2</v>
      </c>
      <c r="R4" s="3">
        <v>1</v>
      </c>
      <c r="S4" s="3">
        <v>2</v>
      </c>
      <c r="U4" s="3">
        <v>10</v>
      </c>
      <c r="V4" s="3">
        <v>2</v>
      </c>
      <c r="W4" s="3">
        <v>1</v>
      </c>
      <c r="X4" s="3">
        <v>1</v>
      </c>
      <c r="Z4" s="3">
        <v>10</v>
      </c>
      <c r="AA4" s="3">
        <v>2</v>
      </c>
      <c r="AB4" s="3">
        <v>1</v>
      </c>
      <c r="AC4" s="3">
        <v>7</v>
      </c>
      <c r="AE4" s="3">
        <v>10</v>
      </c>
      <c r="AF4" s="3">
        <v>1</v>
      </c>
      <c r="AG4" s="3">
        <v>6</v>
      </c>
      <c r="AH4" s="3">
        <v>19</v>
      </c>
      <c r="AJ4" s="3">
        <v>10</v>
      </c>
      <c r="AK4" s="5">
        <f>AVERAGE(B4,G4,L4,Q4,V4,AA4)</f>
        <v>1.5</v>
      </c>
      <c r="AL4" s="5">
        <f>AVERAGE(C4,H4,M4,R4,W4,AB4)</f>
        <v>1.1666666666666667</v>
      </c>
      <c r="AM4" s="5">
        <f>AVERAGE(D4,I4,N4,S4,X4,AC4)</f>
        <v>3.3333333333333335</v>
      </c>
      <c r="AO4">
        <v>1.5</v>
      </c>
      <c r="AP4">
        <v>1.1666666666666667</v>
      </c>
      <c r="AQ4">
        <v>3.3333333333333335</v>
      </c>
    </row>
    <row r="5" spans="1:51" x14ac:dyDescent="0.45">
      <c r="A5" s="3">
        <v>10.199999999999999</v>
      </c>
      <c r="B5" s="3">
        <v>0</v>
      </c>
      <c r="C5" s="3">
        <v>2</v>
      </c>
      <c r="D5" s="3">
        <v>3</v>
      </c>
      <c r="F5" s="3">
        <v>10.199999999999999</v>
      </c>
      <c r="G5" s="3">
        <v>1</v>
      </c>
      <c r="H5" s="3">
        <v>2</v>
      </c>
      <c r="I5" s="3">
        <v>5</v>
      </c>
      <c r="K5" s="3">
        <v>10.199999999999999</v>
      </c>
      <c r="L5" s="3">
        <v>0</v>
      </c>
      <c r="M5" s="3">
        <v>1</v>
      </c>
      <c r="N5" s="3">
        <v>4</v>
      </c>
      <c r="P5" s="3">
        <v>10.199999999999999</v>
      </c>
      <c r="Q5" s="3">
        <v>0</v>
      </c>
      <c r="R5" s="3">
        <v>1</v>
      </c>
      <c r="S5" s="3">
        <v>5</v>
      </c>
      <c r="U5" s="3">
        <v>10.199999999999999</v>
      </c>
      <c r="V5" s="3">
        <v>0</v>
      </c>
      <c r="W5" s="3">
        <v>1</v>
      </c>
      <c r="X5" s="3">
        <v>6</v>
      </c>
      <c r="Z5" s="3">
        <v>10.199999999999999</v>
      </c>
      <c r="AA5" s="3">
        <v>0</v>
      </c>
      <c r="AB5" s="3">
        <v>0</v>
      </c>
      <c r="AC5" s="3">
        <v>6</v>
      </c>
      <c r="AE5" s="3">
        <v>10.199999999999999</v>
      </c>
      <c r="AF5" s="3">
        <v>1</v>
      </c>
      <c r="AG5" s="3">
        <v>5</v>
      </c>
      <c r="AH5" s="3">
        <v>24</v>
      </c>
      <c r="AJ5" s="3">
        <v>10.199999999999999</v>
      </c>
      <c r="AK5" s="5">
        <f t="shared" ref="AK5:AK68" si="0">AVERAGE(B5,G5,L5,Q5,V5,AA5)</f>
        <v>0.16666666666666666</v>
      </c>
      <c r="AL5" s="5">
        <f t="shared" ref="AL5:AL68" si="1">AVERAGE(C5,H5,M5,R5,W5,AB5)</f>
        <v>1.1666666666666667</v>
      </c>
      <c r="AM5" s="5">
        <f t="shared" ref="AM5:AM68" si="2">AVERAGE(D5,I5,N5,S5,X5,AC5)</f>
        <v>4.833333333333333</v>
      </c>
      <c r="AO5">
        <v>0.16666666666666666</v>
      </c>
      <c r="AP5">
        <v>1.1666666666666667</v>
      </c>
      <c r="AQ5">
        <v>4.833333333333333</v>
      </c>
    </row>
    <row r="6" spans="1:51" x14ac:dyDescent="0.45">
      <c r="A6" s="3">
        <v>10.3</v>
      </c>
      <c r="B6" s="3">
        <v>1</v>
      </c>
      <c r="C6" s="3">
        <v>1</v>
      </c>
      <c r="D6" s="3">
        <v>7</v>
      </c>
      <c r="F6" s="3">
        <v>10.3</v>
      </c>
      <c r="G6" s="3">
        <v>2</v>
      </c>
      <c r="H6" s="3">
        <v>1</v>
      </c>
      <c r="I6" s="3">
        <v>5</v>
      </c>
      <c r="K6" s="3">
        <v>10.3</v>
      </c>
      <c r="L6" s="3">
        <v>0</v>
      </c>
      <c r="M6" s="3">
        <v>2</v>
      </c>
      <c r="N6" s="3">
        <v>2</v>
      </c>
      <c r="P6" s="3">
        <v>10.3</v>
      </c>
      <c r="Q6" s="3">
        <v>0</v>
      </c>
      <c r="R6" s="3">
        <v>2</v>
      </c>
      <c r="S6" s="3">
        <v>6</v>
      </c>
      <c r="U6" s="3">
        <v>10.3</v>
      </c>
      <c r="V6" s="3">
        <v>2</v>
      </c>
      <c r="W6" s="3">
        <v>0</v>
      </c>
      <c r="X6" s="3">
        <v>3</v>
      </c>
      <c r="Z6" s="3">
        <v>10.3</v>
      </c>
      <c r="AA6" s="3">
        <v>0</v>
      </c>
      <c r="AB6" s="3">
        <v>1</v>
      </c>
      <c r="AC6" s="3">
        <v>4</v>
      </c>
      <c r="AE6" s="3">
        <v>10.3</v>
      </c>
      <c r="AF6" s="3">
        <v>3</v>
      </c>
      <c r="AG6" s="3">
        <v>10</v>
      </c>
      <c r="AH6" s="3">
        <v>32</v>
      </c>
      <c r="AJ6" s="3">
        <v>10.3</v>
      </c>
      <c r="AK6" s="5">
        <f t="shared" si="0"/>
        <v>0.83333333333333337</v>
      </c>
      <c r="AL6" s="5">
        <f t="shared" si="1"/>
        <v>1.1666666666666667</v>
      </c>
      <c r="AM6" s="5">
        <f t="shared" si="2"/>
        <v>4.5</v>
      </c>
      <c r="AO6">
        <v>0.83333333333333337</v>
      </c>
      <c r="AP6">
        <v>1.1666666666666667</v>
      </c>
      <c r="AQ6" s="9">
        <v>4.5</v>
      </c>
      <c r="AY6">
        <v>4.5</v>
      </c>
    </row>
    <row r="7" spans="1:51" x14ac:dyDescent="0.45">
      <c r="A7" s="3">
        <v>10.6</v>
      </c>
      <c r="B7" s="3">
        <v>2</v>
      </c>
      <c r="C7" s="3">
        <v>2</v>
      </c>
      <c r="D7" s="3">
        <v>3</v>
      </c>
      <c r="F7" s="3">
        <v>10.6</v>
      </c>
      <c r="G7" s="3">
        <v>0</v>
      </c>
      <c r="H7" s="3">
        <v>3</v>
      </c>
      <c r="I7" s="3">
        <v>2</v>
      </c>
      <c r="K7" s="3">
        <v>10.6</v>
      </c>
      <c r="L7" s="3">
        <v>1</v>
      </c>
      <c r="M7" s="3">
        <v>0</v>
      </c>
      <c r="N7" s="3">
        <v>2</v>
      </c>
      <c r="P7" s="3">
        <v>10.6</v>
      </c>
      <c r="Q7" s="3">
        <v>0</v>
      </c>
      <c r="R7" s="3">
        <v>1</v>
      </c>
      <c r="S7" s="3">
        <v>6</v>
      </c>
      <c r="U7" s="3">
        <v>10.6</v>
      </c>
      <c r="V7" s="3">
        <v>2</v>
      </c>
      <c r="W7" s="3">
        <v>2</v>
      </c>
      <c r="X7" s="3">
        <v>6</v>
      </c>
      <c r="Z7" s="3">
        <v>10.6</v>
      </c>
      <c r="AA7" s="3">
        <v>1</v>
      </c>
      <c r="AB7" s="3">
        <v>1</v>
      </c>
      <c r="AC7" s="3">
        <v>4</v>
      </c>
      <c r="AE7" s="3">
        <v>10.6</v>
      </c>
      <c r="AF7" s="3">
        <v>3</v>
      </c>
      <c r="AG7" s="3">
        <v>7</v>
      </c>
      <c r="AH7" s="3">
        <v>32</v>
      </c>
      <c r="AJ7" s="3">
        <v>10.6</v>
      </c>
      <c r="AK7" s="5">
        <f t="shared" si="0"/>
        <v>1</v>
      </c>
      <c r="AL7" s="5">
        <f t="shared" si="1"/>
        <v>1.5</v>
      </c>
      <c r="AM7" s="5">
        <f t="shared" si="2"/>
        <v>3.8333333333333335</v>
      </c>
      <c r="AO7" s="5">
        <f>AVERAGE(AK4:AK10)</f>
        <v>0.80952380952380953</v>
      </c>
      <c r="AP7" s="5">
        <f>AVERAGE(AL4:AL10)</f>
        <v>1.4047619047619049</v>
      </c>
      <c r="AQ7" s="5">
        <f>AVERAGE(AM4:AM10)</f>
        <v>5.5238095238095246</v>
      </c>
      <c r="AY7">
        <v>5.5238095238095246</v>
      </c>
    </row>
    <row r="8" spans="1:51" x14ac:dyDescent="0.45">
      <c r="A8" s="3">
        <v>10.8</v>
      </c>
      <c r="B8" s="3">
        <v>0</v>
      </c>
      <c r="C8" s="3">
        <v>2</v>
      </c>
      <c r="D8" s="3">
        <v>3</v>
      </c>
      <c r="F8" s="3">
        <v>10.8</v>
      </c>
      <c r="G8" s="3">
        <v>0</v>
      </c>
      <c r="H8" s="3">
        <v>2</v>
      </c>
      <c r="I8" s="3">
        <v>5</v>
      </c>
      <c r="K8" s="3">
        <v>10.8</v>
      </c>
      <c r="L8" s="3">
        <v>1</v>
      </c>
      <c r="M8" s="3">
        <v>0</v>
      </c>
      <c r="N8" s="3">
        <v>5</v>
      </c>
      <c r="P8" s="3">
        <v>10.8</v>
      </c>
      <c r="Q8" s="3">
        <v>3</v>
      </c>
      <c r="R8" s="3">
        <v>1</v>
      </c>
      <c r="S8" s="3">
        <v>5</v>
      </c>
      <c r="U8" s="3">
        <v>10.8</v>
      </c>
      <c r="V8" s="3">
        <v>2</v>
      </c>
      <c r="W8" s="3">
        <v>2</v>
      </c>
      <c r="X8" s="3">
        <v>4</v>
      </c>
      <c r="Z8" s="3">
        <v>10.8</v>
      </c>
      <c r="AA8" s="3">
        <v>0</v>
      </c>
      <c r="AB8" s="3">
        <v>2</v>
      </c>
      <c r="AC8" s="3">
        <v>6</v>
      </c>
      <c r="AE8" s="3">
        <v>10.8</v>
      </c>
      <c r="AF8" s="3">
        <v>1</v>
      </c>
      <c r="AG8" s="3">
        <v>4</v>
      </c>
      <c r="AH8" s="3">
        <v>39</v>
      </c>
      <c r="AJ8" s="3">
        <v>10.8</v>
      </c>
      <c r="AK8" s="5">
        <f t="shared" si="0"/>
        <v>1</v>
      </c>
      <c r="AL8" s="5">
        <f t="shared" si="1"/>
        <v>1.5</v>
      </c>
      <c r="AM8" s="7">
        <f t="shared" si="2"/>
        <v>4.666666666666667</v>
      </c>
      <c r="AO8" s="5">
        <f>AVERAGE(AK5:AK11)</f>
        <v>0.8571428571428571</v>
      </c>
      <c r="AP8" s="5">
        <f t="shared" ref="AP8:AP71" si="3">AVERAGE(AL5:AL11)</f>
        <v>1.3809523809523812</v>
      </c>
      <c r="AQ8" s="5">
        <f t="shared" ref="AQ8:AQ71" si="4">AVERAGE(AM5:AM11)</f>
        <v>6.9047619047619051</v>
      </c>
      <c r="AV8">
        <v>4.666666666666667</v>
      </c>
      <c r="AY8">
        <v>6.9047619047619051</v>
      </c>
    </row>
    <row r="9" spans="1:51" x14ac:dyDescent="0.45">
      <c r="A9" s="3">
        <v>11</v>
      </c>
      <c r="B9" s="3">
        <v>0</v>
      </c>
      <c r="C9" s="3">
        <v>3</v>
      </c>
      <c r="D9" s="3">
        <v>6</v>
      </c>
      <c r="F9" s="3">
        <v>11</v>
      </c>
      <c r="G9" s="3">
        <v>0</v>
      </c>
      <c r="H9" s="3">
        <v>0</v>
      </c>
      <c r="I9" s="3">
        <v>3</v>
      </c>
      <c r="K9" s="3">
        <v>11</v>
      </c>
      <c r="L9" s="3">
        <v>0</v>
      </c>
      <c r="M9" s="3">
        <v>1</v>
      </c>
      <c r="N9" s="3">
        <v>4</v>
      </c>
      <c r="P9" s="3">
        <v>11</v>
      </c>
      <c r="Q9" s="3">
        <v>1</v>
      </c>
      <c r="R9" s="3">
        <v>1</v>
      </c>
      <c r="S9" s="3">
        <v>11</v>
      </c>
      <c r="U9" s="3">
        <v>11</v>
      </c>
      <c r="V9" s="3">
        <v>2</v>
      </c>
      <c r="W9" s="3">
        <v>2</v>
      </c>
      <c r="X9" s="3">
        <v>3</v>
      </c>
      <c r="Z9" s="3">
        <v>11</v>
      </c>
      <c r="AA9" s="3">
        <v>0</v>
      </c>
      <c r="AB9" s="3">
        <v>0</v>
      </c>
      <c r="AC9" s="3">
        <v>10</v>
      </c>
      <c r="AE9" s="3">
        <v>11</v>
      </c>
      <c r="AF9" s="3">
        <v>3</v>
      </c>
      <c r="AG9" s="3">
        <v>6</v>
      </c>
      <c r="AH9" s="3">
        <v>51</v>
      </c>
      <c r="AJ9" s="3">
        <v>11</v>
      </c>
      <c r="AK9" s="5">
        <f t="shared" si="0"/>
        <v>0.5</v>
      </c>
      <c r="AL9" s="5">
        <f t="shared" si="1"/>
        <v>1.1666666666666667</v>
      </c>
      <c r="AM9" s="5">
        <f t="shared" si="2"/>
        <v>6.166666666666667</v>
      </c>
      <c r="AO9" s="5">
        <f t="shared" ref="AO9:AO72" si="5">AVERAGE(AK6:AK12)</f>
        <v>0.97619047619047616</v>
      </c>
      <c r="AP9" s="5">
        <f t="shared" si="3"/>
        <v>1.3333333333333335</v>
      </c>
      <c r="AQ9" s="5">
        <f t="shared" si="4"/>
        <v>8.6904761904761898</v>
      </c>
      <c r="AV9">
        <v>6.166666666666667</v>
      </c>
      <c r="AY9">
        <v>8.6904761904761898</v>
      </c>
    </row>
    <row r="10" spans="1:51" x14ac:dyDescent="0.45">
      <c r="A10" s="3">
        <v>11.2</v>
      </c>
      <c r="B10" s="3">
        <v>0</v>
      </c>
      <c r="C10" s="3">
        <v>4</v>
      </c>
      <c r="D10" s="3">
        <v>16</v>
      </c>
      <c r="F10" s="3">
        <v>11.2</v>
      </c>
      <c r="G10" s="3">
        <v>2</v>
      </c>
      <c r="H10" s="3">
        <v>3</v>
      </c>
      <c r="I10" s="3">
        <v>14</v>
      </c>
      <c r="K10" s="3">
        <v>11.2</v>
      </c>
      <c r="L10" s="3">
        <v>1</v>
      </c>
      <c r="M10" s="3">
        <v>3</v>
      </c>
      <c r="N10" s="3">
        <v>4</v>
      </c>
      <c r="P10" s="3">
        <v>11.2</v>
      </c>
      <c r="Q10" s="3">
        <v>0</v>
      </c>
      <c r="R10" s="3">
        <v>1</v>
      </c>
      <c r="S10" s="3">
        <v>9</v>
      </c>
      <c r="U10" s="3">
        <v>11.2</v>
      </c>
      <c r="V10" s="3">
        <v>0</v>
      </c>
      <c r="W10" s="3">
        <v>1</v>
      </c>
      <c r="X10" s="3">
        <v>11</v>
      </c>
      <c r="Z10" s="3">
        <v>11.2</v>
      </c>
      <c r="AA10" s="3">
        <v>1</v>
      </c>
      <c r="AB10" s="3">
        <v>1</v>
      </c>
      <c r="AC10" s="3">
        <v>14</v>
      </c>
      <c r="AE10" s="3">
        <v>11.2</v>
      </c>
      <c r="AF10" s="3">
        <v>2</v>
      </c>
      <c r="AG10" s="3">
        <v>9</v>
      </c>
      <c r="AH10" s="3">
        <v>71</v>
      </c>
      <c r="AJ10" s="3">
        <v>11.2</v>
      </c>
      <c r="AK10" s="5">
        <f t="shared" si="0"/>
        <v>0.66666666666666663</v>
      </c>
      <c r="AL10" s="5">
        <f t="shared" si="1"/>
        <v>2.1666666666666665</v>
      </c>
      <c r="AM10" s="5">
        <f t="shared" si="2"/>
        <v>11.333333333333334</v>
      </c>
      <c r="AO10" s="5">
        <f>AVERAGE(AK7:AK13)</f>
        <v>1</v>
      </c>
      <c r="AP10" s="5">
        <f t="shared" si="3"/>
        <v>1.3095238095238098</v>
      </c>
      <c r="AQ10" s="5">
        <f t="shared" si="4"/>
        <v>10.476190476190476</v>
      </c>
      <c r="AV10">
        <v>11.333333333333334</v>
      </c>
      <c r="AY10">
        <v>10.476190476190476</v>
      </c>
    </row>
    <row r="11" spans="1:51" x14ac:dyDescent="0.45">
      <c r="A11" s="3">
        <v>11.4</v>
      </c>
      <c r="B11" s="3">
        <v>2</v>
      </c>
      <c r="C11" s="3">
        <v>3</v>
      </c>
      <c r="D11" s="3">
        <v>14</v>
      </c>
      <c r="F11" s="3">
        <v>11.4</v>
      </c>
      <c r="G11" s="3">
        <v>2</v>
      </c>
      <c r="H11" s="3">
        <v>0</v>
      </c>
      <c r="I11" s="3">
        <v>13</v>
      </c>
      <c r="K11" s="3">
        <v>11.4</v>
      </c>
      <c r="L11" s="3">
        <v>1</v>
      </c>
      <c r="M11" s="3">
        <v>1</v>
      </c>
      <c r="N11" s="3">
        <v>11</v>
      </c>
      <c r="P11" s="3">
        <v>11.4</v>
      </c>
      <c r="Q11" s="3">
        <v>3</v>
      </c>
      <c r="R11" s="3">
        <v>0</v>
      </c>
      <c r="S11" s="3">
        <v>12</v>
      </c>
      <c r="U11" s="3">
        <v>11.4</v>
      </c>
      <c r="V11" s="3">
        <v>0</v>
      </c>
      <c r="W11" s="3">
        <v>1</v>
      </c>
      <c r="X11" s="3">
        <v>8</v>
      </c>
      <c r="Z11" s="3">
        <v>11.4</v>
      </c>
      <c r="AA11" s="3">
        <v>3</v>
      </c>
      <c r="AB11" s="3">
        <v>1</v>
      </c>
      <c r="AC11" s="3">
        <v>20</v>
      </c>
      <c r="AE11" s="3">
        <v>11.4</v>
      </c>
      <c r="AF11" s="3">
        <v>3</v>
      </c>
      <c r="AG11" s="3">
        <v>11</v>
      </c>
      <c r="AH11" s="3">
        <v>90</v>
      </c>
      <c r="AJ11" s="3">
        <v>11.4</v>
      </c>
      <c r="AK11" s="5">
        <f t="shared" si="0"/>
        <v>1.8333333333333333</v>
      </c>
      <c r="AL11" s="5">
        <f t="shared" si="1"/>
        <v>1</v>
      </c>
      <c r="AM11" s="5">
        <f t="shared" si="2"/>
        <v>13</v>
      </c>
      <c r="AO11" s="5">
        <f t="shared" si="5"/>
        <v>1.0238095238095239</v>
      </c>
      <c r="AP11" s="5">
        <f t="shared" si="3"/>
        <v>1.5714285714285714</v>
      </c>
      <c r="AQ11" s="5">
        <f t="shared" si="4"/>
        <v>12.619047619047619</v>
      </c>
      <c r="AV11">
        <v>13</v>
      </c>
      <c r="AY11">
        <v>12.619047619047619</v>
      </c>
    </row>
    <row r="12" spans="1:51" x14ac:dyDescent="0.45">
      <c r="A12" s="3">
        <v>11.6</v>
      </c>
      <c r="B12" s="3">
        <v>1</v>
      </c>
      <c r="C12" s="3">
        <v>1</v>
      </c>
      <c r="D12" s="3">
        <v>21</v>
      </c>
      <c r="F12" s="3">
        <v>11.6</v>
      </c>
      <c r="G12" s="3">
        <v>1</v>
      </c>
      <c r="H12" s="3">
        <v>1</v>
      </c>
      <c r="I12" s="3">
        <v>18</v>
      </c>
      <c r="K12" s="3">
        <v>11.6</v>
      </c>
      <c r="L12" s="3">
        <v>1</v>
      </c>
      <c r="M12" s="3">
        <v>0</v>
      </c>
      <c r="N12" s="3">
        <v>12</v>
      </c>
      <c r="P12" s="3">
        <v>11.6</v>
      </c>
      <c r="Q12" s="3">
        <v>2</v>
      </c>
      <c r="R12" s="3">
        <v>0</v>
      </c>
      <c r="S12" s="3">
        <v>19</v>
      </c>
      <c r="U12" s="3">
        <v>11.6</v>
      </c>
      <c r="V12" s="3">
        <v>0</v>
      </c>
      <c r="W12" s="3">
        <v>0</v>
      </c>
      <c r="X12" s="3">
        <v>12</v>
      </c>
      <c r="Z12" s="3">
        <v>11.6</v>
      </c>
      <c r="AA12" s="3">
        <v>1</v>
      </c>
      <c r="AB12" s="3">
        <v>3</v>
      </c>
      <c r="AC12" s="3">
        <v>22</v>
      </c>
      <c r="AE12" s="3">
        <v>11.6</v>
      </c>
      <c r="AF12" s="3">
        <v>2</v>
      </c>
      <c r="AG12" s="3">
        <v>7</v>
      </c>
      <c r="AH12" s="3">
        <v>84</v>
      </c>
      <c r="AJ12" s="3">
        <v>11.6</v>
      </c>
      <c r="AK12" s="5">
        <f t="shared" si="0"/>
        <v>1</v>
      </c>
      <c r="AL12" s="5">
        <f t="shared" si="1"/>
        <v>0.83333333333333337</v>
      </c>
      <c r="AM12" s="5">
        <f t="shared" si="2"/>
        <v>17.333333333333332</v>
      </c>
      <c r="AO12" s="5">
        <f t="shared" si="5"/>
        <v>0.90476190476190488</v>
      </c>
      <c r="AP12" s="7">
        <f t="shared" si="3"/>
        <v>1.7619047619047621</v>
      </c>
      <c r="AQ12" s="5">
        <f t="shared" si="4"/>
        <v>15.761904761904761</v>
      </c>
      <c r="AV12">
        <v>17.333333333333332</v>
      </c>
      <c r="AX12">
        <v>1.7619047619047621</v>
      </c>
      <c r="AY12">
        <v>15.761904761904761</v>
      </c>
    </row>
    <row r="13" spans="1:51" x14ac:dyDescent="0.45">
      <c r="A13" s="3">
        <v>11.8</v>
      </c>
      <c r="B13" s="3">
        <v>1</v>
      </c>
      <c r="C13" s="3">
        <v>0</v>
      </c>
      <c r="D13" s="3">
        <v>16</v>
      </c>
      <c r="F13" s="3">
        <v>11.8</v>
      </c>
      <c r="G13" s="3">
        <v>2</v>
      </c>
      <c r="H13" s="3">
        <v>2</v>
      </c>
      <c r="I13" s="3">
        <v>13</v>
      </c>
      <c r="K13" s="3">
        <v>11.8</v>
      </c>
      <c r="L13" s="3">
        <v>1</v>
      </c>
      <c r="M13" s="3">
        <v>1</v>
      </c>
      <c r="N13" s="3">
        <v>14</v>
      </c>
      <c r="P13" s="3">
        <v>11.8</v>
      </c>
      <c r="Q13" s="3">
        <v>1</v>
      </c>
      <c r="R13" s="3">
        <v>1</v>
      </c>
      <c r="S13" s="3">
        <v>17</v>
      </c>
      <c r="U13" s="3">
        <v>11.8</v>
      </c>
      <c r="V13" s="3">
        <v>0</v>
      </c>
      <c r="W13" s="3">
        <v>0</v>
      </c>
      <c r="X13" s="3">
        <v>15</v>
      </c>
      <c r="Z13" s="3">
        <v>11.8</v>
      </c>
      <c r="AA13" s="3">
        <v>1</v>
      </c>
      <c r="AB13" s="3">
        <v>2</v>
      </c>
      <c r="AC13" s="3">
        <v>27</v>
      </c>
      <c r="AE13" s="3">
        <v>11.8</v>
      </c>
      <c r="AF13" s="3">
        <v>2</v>
      </c>
      <c r="AG13" s="3">
        <v>8</v>
      </c>
      <c r="AH13" s="3">
        <v>94</v>
      </c>
      <c r="AJ13" s="3">
        <v>11.8</v>
      </c>
      <c r="AK13" s="5">
        <f t="shared" si="0"/>
        <v>1</v>
      </c>
      <c r="AL13" s="7">
        <f t="shared" si="1"/>
        <v>1</v>
      </c>
      <c r="AM13" s="5">
        <f t="shared" si="2"/>
        <v>17</v>
      </c>
      <c r="AO13" s="5">
        <f t="shared" si="5"/>
        <v>1.0238095238095239</v>
      </c>
      <c r="AP13" s="5">
        <f t="shared" si="3"/>
        <v>2.0476190476190479</v>
      </c>
      <c r="AQ13" s="5">
        <f t="shared" si="4"/>
        <v>18.785714285714285</v>
      </c>
      <c r="AU13">
        <v>1</v>
      </c>
      <c r="AV13">
        <v>17</v>
      </c>
      <c r="AX13">
        <v>2.0476190476190479</v>
      </c>
      <c r="AY13">
        <v>18.785714285714285</v>
      </c>
    </row>
    <row r="14" spans="1:51" x14ac:dyDescent="0.45">
      <c r="A14" s="3">
        <v>12</v>
      </c>
      <c r="B14" s="3">
        <v>2</v>
      </c>
      <c r="C14" s="3">
        <v>5</v>
      </c>
      <c r="D14" s="3">
        <v>21</v>
      </c>
      <c r="F14" s="3">
        <v>12</v>
      </c>
      <c r="G14" s="3">
        <v>0</v>
      </c>
      <c r="H14" s="3">
        <v>3</v>
      </c>
      <c r="I14" s="3">
        <v>18</v>
      </c>
      <c r="K14" s="3">
        <v>12</v>
      </c>
      <c r="L14" s="3">
        <v>5</v>
      </c>
      <c r="M14" s="3">
        <v>3</v>
      </c>
      <c r="N14" s="3">
        <v>20</v>
      </c>
      <c r="P14" s="3">
        <v>12</v>
      </c>
      <c r="Q14" s="3">
        <v>0</v>
      </c>
      <c r="R14" s="3">
        <v>1</v>
      </c>
      <c r="S14" s="3">
        <v>17</v>
      </c>
      <c r="U14" s="3">
        <v>12</v>
      </c>
      <c r="V14" s="3">
        <v>0</v>
      </c>
      <c r="W14" s="3">
        <v>5</v>
      </c>
      <c r="X14" s="3">
        <v>14</v>
      </c>
      <c r="Z14" s="3">
        <v>12</v>
      </c>
      <c r="AA14" s="3">
        <v>0</v>
      </c>
      <c r="AB14" s="3">
        <v>3</v>
      </c>
      <c r="AC14" s="3">
        <v>23</v>
      </c>
      <c r="AE14" s="3">
        <v>12</v>
      </c>
      <c r="AF14" s="3">
        <v>2</v>
      </c>
      <c r="AG14" s="3">
        <v>16</v>
      </c>
      <c r="AH14" s="3">
        <v>119</v>
      </c>
      <c r="AJ14" s="3">
        <v>12</v>
      </c>
      <c r="AK14" s="5">
        <f t="shared" si="0"/>
        <v>1.1666666666666667</v>
      </c>
      <c r="AL14" s="5">
        <f t="shared" si="1"/>
        <v>3.3333333333333335</v>
      </c>
      <c r="AM14" s="5">
        <f t="shared" si="2"/>
        <v>18.833333333333332</v>
      </c>
      <c r="AO14" s="5">
        <f t="shared" si="5"/>
        <v>1.0238095238095239</v>
      </c>
      <c r="AP14" s="5">
        <f t="shared" si="3"/>
        <v>2.4523809523809521</v>
      </c>
      <c r="AQ14" s="5">
        <f t="shared" si="4"/>
        <v>21.285714285714285</v>
      </c>
      <c r="AU14">
        <v>3.3333333333333335</v>
      </c>
      <c r="AV14">
        <v>18.833333333333332</v>
      </c>
      <c r="AX14">
        <v>2.4523809523809521</v>
      </c>
      <c r="AY14">
        <v>21.285714285714285</v>
      </c>
    </row>
    <row r="15" spans="1:51" x14ac:dyDescent="0.45">
      <c r="A15" s="3">
        <v>12.2</v>
      </c>
      <c r="B15" s="3">
        <v>0</v>
      </c>
      <c r="C15" s="3">
        <v>3</v>
      </c>
      <c r="D15" s="3">
        <v>39</v>
      </c>
      <c r="F15" s="3">
        <v>12.2</v>
      </c>
      <c r="G15" s="3">
        <v>0</v>
      </c>
      <c r="H15" s="3">
        <v>2</v>
      </c>
      <c r="I15" s="3">
        <v>25</v>
      </c>
      <c r="K15" s="3">
        <v>12.2</v>
      </c>
      <c r="L15" s="3">
        <v>0</v>
      </c>
      <c r="M15" s="3">
        <v>4</v>
      </c>
      <c r="N15" s="3">
        <v>27</v>
      </c>
      <c r="P15" s="3">
        <v>12.2</v>
      </c>
      <c r="Q15" s="3">
        <v>0</v>
      </c>
      <c r="R15" s="3">
        <v>4</v>
      </c>
      <c r="S15" s="3">
        <v>16</v>
      </c>
      <c r="U15" s="3">
        <v>12.2</v>
      </c>
      <c r="V15" s="3">
        <v>1</v>
      </c>
      <c r="W15" s="3">
        <v>2</v>
      </c>
      <c r="X15" s="3">
        <v>24</v>
      </c>
      <c r="Z15" s="3">
        <v>12.2</v>
      </c>
      <c r="AA15" s="3">
        <v>0</v>
      </c>
      <c r="AB15" s="3">
        <v>2</v>
      </c>
      <c r="AC15" s="3">
        <v>29</v>
      </c>
      <c r="AE15" s="3">
        <v>12.2</v>
      </c>
      <c r="AF15" s="3">
        <v>2</v>
      </c>
      <c r="AG15" s="3">
        <v>17</v>
      </c>
      <c r="AH15" s="3">
        <v>151</v>
      </c>
      <c r="AJ15" s="3">
        <v>12.2</v>
      </c>
      <c r="AK15" s="5">
        <f t="shared" si="0"/>
        <v>0.16666666666666666</v>
      </c>
      <c r="AL15" s="5">
        <f t="shared" si="1"/>
        <v>2.8333333333333335</v>
      </c>
      <c r="AM15" s="5">
        <f t="shared" si="2"/>
        <v>26.666666666666668</v>
      </c>
      <c r="AO15" s="5">
        <f t="shared" si="5"/>
        <v>0.78571428571428581</v>
      </c>
      <c r="AP15" s="5">
        <f t="shared" si="3"/>
        <v>3.1666666666666665</v>
      </c>
      <c r="AQ15" s="5">
        <f t="shared" si="4"/>
        <v>23.333333333333336</v>
      </c>
      <c r="AU15">
        <v>2.8333333333333335</v>
      </c>
      <c r="AV15">
        <v>26.666666666666668</v>
      </c>
      <c r="AX15">
        <v>3.1666666666666665</v>
      </c>
      <c r="AY15">
        <v>23.333333333333336</v>
      </c>
    </row>
    <row r="16" spans="1:51" x14ac:dyDescent="0.45">
      <c r="A16" s="3">
        <v>12.4</v>
      </c>
      <c r="B16" s="3">
        <v>1</v>
      </c>
      <c r="C16" s="3">
        <v>4</v>
      </c>
      <c r="D16" s="3">
        <v>28</v>
      </c>
      <c r="F16" s="3">
        <v>12.4</v>
      </c>
      <c r="G16" s="3">
        <v>2</v>
      </c>
      <c r="H16" s="3">
        <v>4</v>
      </c>
      <c r="I16" s="3">
        <v>23</v>
      </c>
      <c r="K16" s="3">
        <v>12.4</v>
      </c>
      <c r="L16" s="3">
        <v>1</v>
      </c>
      <c r="M16" s="3">
        <v>2</v>
      </c>
      <c r="N16" s="3">
        <v>21</v>
      </c>
      <c r="P16" s="3">
        <v>12.4</v>
      </c>
      <c r="Q16" s="3">
        <v>1</v>
      </c>
      <c r="R16" s="3">
        <v>2</v>
      </c>
      <c r="S16" s="3">
        <v>29</v>
      </c>
      <c r="U16" s="3">
        <v>12.4</v>
      </c>
      <c r="V16" s="3">
        <v>1</v>
      </c>
      <c r="W16" s="3">
        <v>3</v>
      </c>
      <c r="X16" s="3">
        <v>23</v>
      </c>
      <c r="Z16" s="3">
        <v>12.4</v>
      </c>
      <c r="AA16" s="3">
        <v>2</v>
      </c>
      <c r="AB16" s="3">
        <v>4</v>
      </c>
      <c r="AC16" s="3">
        <v>40</v>
      </c>
      <c r="AE16" s="3">
        <v>12.4</v>
      </c>
      <c r="AF16" s="3">
        <v>3</v>
      </c>
      <c r="AG16" s="3">
        <v>27</v>
      </c>
      <c r="AH16" s="3">
        <v>147</v>
      </c>
      <c r="AJ16" s="3">
        <v>12.4</v>
      </c>
      <c r="AK16" s="5">
        <f t="shared" si="0"/>
        <v>1.3333333333333333</v>
      </c>
      <c r="AL16" s="5">
        <f t="shared" si="1"/>
        <v>3.1666666666666665</v>
      </c>
      <c r="AM16" s="5">
        <f t="shared" si="2"/>
        <v>27.333333333333332</v>
      </c>
      <c r="AO16" s="5">
        <f t="shared" si="5"/>
        <v>0.80952380952380965</v>
      </c>
      <c r="AP16" s="5">
        <f t="shared" si="3"/>
        <v>4.3095238095238102</v>
      </c>
      <c r="AQ16" s="5">
        <f t="shared" si="4"/>
        <v>25.738095238095237</v>
      </c>
      <c r="AU16">
        <v>3.1666666666666665</v>
      </c>
      <c r="AV16">
        <v>27.333333333333332</v>
      </c>
      <c r="AX16">
        <v>4.3095238095238102</v>
      </c>
      <c r="AY16">
        <v>25.738095238095237</v>
      </c>
    </row>
    <row r="17" spans="1:51" x14ac:dyDescent="0.45">
      <c r="A17" s="3">
        <v>12.6</v>
      </c>
      <c r="B17" s="3">
        <v>0</v>
      </c>
      <c r="C17" s="3">
        <v>6</v>
      </c>
      <c r="D17" s="3">
        <v>24</v>
      </c>
      <c r="F17" s="3">
        <v>12.6</v>
      </c>
      <c r="G17" s="3">
        <v>1</v>
      </c>
      <c r="H17" s="3">
        <v>7</v>
      </c>
      <c r="I17" s="3">
        <v>25</v>
      </c>
      <c r="K17" s="3">
        <v>12.6</v>
      </c>
      <c r="L17" s="3">
        <v>0</v>
      </c>
      <c r="M17" s="3">
        <v>4</v>
      </c>
      <c r="N17" s="3">
        <v>38</v>
      </c>
      <c r="P17" s="3">
        <v>12.6</v>
      </c>
      <c r="Q17" s="3">
        <v>0</v>
      </c>
      <c r="R17" s="3">
        <v>6</v>
      </c>
      <c r="S17" s="3">
        <v>26</v>
      </c>
      <c r="U17" s="3">
        <v>12.6</v>
      </c>
      <c r="V17" s="3">
        <v>2</v>
      </c>
      <c r="W17" s="3">
        <v>2</v>
      </c>
      <c r="X17" s="3">
        <v>29</v>
      </c>
      <c r="Z17" s="3">
        <v>12.6</v>
      </c>
      <c r="AA17" s="3">
        <v>1</v>
      </c>
      <c r="AB17" s="3">
        <v>5</v>
      </c>
      <c r="AC17" s="3">
        <v>31</v>
      </c>
      <c r="AE17" s="3">
        <v>12.6</v>
      </c>
      <c r="AF17" s="3">
        <v>5</v>
      </c>
      <c r="AG17" s="3">
        <v>40</v>
      </c>
      <c r="AH17" s="3">
        <v>171</v>
      </c>
      <c r="AJ17" s="3">
        <v>12.6</v>
      </c>
      <c r="AK17" s="5">
        <f t="shared" si="0"/>
        <v>0.66666666666666663</v>
      </c>
      <c r="AL17" s="5">
        <f t="shared" si="1"/>
        <v>5</v>
      </c>
      <c r="AM17" s="5">
        <f t="shared" si="2"/>
        <v>28.833333333333332</v>
      </c>
      <c r="AO17" s="5">
        <f t="shared" si="5"/>
        <v>0.69047619047619058</v>
      </c>
      <c r="AP17" s="5">
        <f t="shared" si="3"/>
        <v>5.7857142857142865</v>
      </c>
      <c r="AQ17" s="5">
        <f t="shared" si="4"/>
        <v>28.714285714285715</v>
      </c>
      <c r="AU17">
        <v>5</v>
      </c>
      <c r="AV17">
        <v>28.833333333333332</v>
      </c>
      <c r="AX17">
        <v>5.7857142857142865</v>
      </c>
      <c r="AY17">
        <v>28.714285714285715</v>
      </c>
    </row>
    <row r="18" spans="1:51" x14ac:dyDescent="0.45">
      <c r="A18" s="3">
        <v>12.8</v>
      </c>
      <c r="B18" s="3">
        <v>1</v>
      </c>
      <c r="C18" s="3">
        <v>3</v>
      </c>
      <c r="D18" s="3">
        <v>23</v>
      </c>
      <c r="F18" s="3">
        <v>12.8</v>
      </c>
      <c r="G18" s="3">
        <v>0</v>
      </c>
      <c r="H18" s="3">
        <v>8</v>
      </c>
      <c r="I18" s="3">
        <v>32</v>
      </c>
      <c r="K18" s="3">
        <v>12.8</v>
      </c>
      <c r="L18" s="3">
        <v>0</v>
      </c>
      <c r="M18" s="3">
        <v>6</v>
      </c>
      <c r="N18" s="3">
        <v>26</v>
      </c>
      <c r="P18" s="3">
        <v>12.8</v>
      </c>
      <c r="Q18" s="3">
        <v>0</v>
      </c>
      <c r="R18" s="3">
        <v>6</v>
      </c>
      <c r="S18" s="3">
        <v>31</v>
      </c>
      <c r="U18" s="3">
        <v>12.8</v>
      </c>
      <c r="V18" s="3">
        <v>0</v>
      </c>
      <c r="W18" s="3">
        <v>4</v>
      </c>
      <c r="X18" s="3">
        <v>28</v>
      </c>
      <c r="Z18" s="3">
        <v>12.8</v>
      </c>
      <c r="AA18" s="3">
        <v>0</v>
      </c>
      <c r="AB18" s="3">
        <v>9</v>
      </c>
      <c r="AC18" s="3">
        <v>24</v>
      </c>
      <c r="AE18" s="3">
        <v>12.8</v>
      </c>
      <c r="AF18" s="3">
        <v>4</v>
      </c>
      <c r="AG18" s="3">
        <v>45</v>
      </c>
      <c r="AH18" s="3">
        <v>173</v>
      </c>
      <c r="AJ18" s="3">
        <v>12.8</v>
      </c>
      <c r="AK18" s="5">
        <f t="shared" si="0"/>
        <v>0.16666666666666666</v>
      </c>
      <c r="AL18" s="5">
        <f t="shared" si="1"/>
        <v>6</v>
      </c>
      <c r="AM18" s="5">
        <f t="shared" si="2"/>
        <v>27.333333333333332</v>
      </c>
      <c r="AO18" s="5">
        <f t="shared" si="5"/>
        <v>0.66666666666666663</v>
      </c>
      <c r="AP18" s="5">
        <f t="shared" si="3"/>
        <v>7.3571428571428585</v>
      </c>
      <c r="AQ18" s="5">
        <f t="shared" si="4"/>
        <v>31.595238095238095</v>
      </c>
      <c r="AU18">
        <v>6</v>
      </c>
      <c r="AV18">
        <v>27.333333333333332</v>
      </c>
      <c r="AX18">
        <v>7.3571428571428585</v>
      </c>
      <c r="AY18">
        <v>31.595238095238095</v>
      </c>
    </row>
    <row r="19" spans="1:51" x14ac:dyDescent="0.45">
      <c r="A19" s="3">
        <v>13</v>
      </c>
      <c r="B19" s="3">
        <v>1</v>
      </c>
      <c r="C19" s="3">
        <v>11</v>
      </c>
      <c r="D19" s="3">
        <v>29</v>
      </c>
      <c r="F19" s="3">
        <v>13</v>
      </c>
      <c r="G19" s="3">
        <v>0</v>
      </c>
      <c r="H19" s="3">
        <v>12</v>
      </c>
      <c r="I19" s="3">
        <v>42</v>
      </c>
      <c r="K19" s="3">
        <v>13</v>
      </c>
      <c r="L19" s="3">
        <v>2</v>
      </c>
      <c r="M19" s="3">
        <v>3</v>
      </c>
      <c r="N19" s="3">
        <v>41</v>
      </c>
      <c r="P19" s="3">
        <v>13</v>
      </c>
      <c r="Q19" s="3">
        <v>0</v>
      </c>
      <c r="R19" s="3">
        <v>10</v>
      </c>
      <c r="S19" s="3">
        <v>24</v>
      </c>
      <c r="U19" s="3">
        <v>13</v>
      </c>
      <c r="V19" s="3">
        <v>1</v>
      </c>
      <c r="W19" s="3">
        <v>10</v>
      </c>
      <c r="X19" s="3">
        <v>35</v>
      </c>
      <c r="Z19" s="3">
        <v>13</v>
      </c>
      <c r="AA19" s="3">
        <v>3</v>
      </c>
      <c r="AB19" s="3">
        <v>7</v>
      </c>
      <c r="AC19" s="3">
        <v>34</v>
      </c>
      <c r="AE19" s="3">
        <v>13</v>
      </c>
      <c r="AF19" s="3">
        <v>0</v>
      </c>
      <c r="AG19" s="3">
        <v>45</v>
      </c>
      <c r="AH19" s="3">
        <v>189</v>
      </c>
      <c r="AJ19" s="3">
        <v>13</v>
      </c>
      <c r="AK19" s="5">
        <f t="shared" si="0"/>
        <v>1.1666666666666667</v>
      </c>
      <c r="AL19" s="5">
        <f t="shared" si="1"/>
        <v>8.8333333333333339</v>
      </c>
      <c r="AM19" s="5">
        <f t="shared" si="2"/>
        <v>34.166666666666664</v>
      </c>
      <c r="AO19" s="5">
        <f t="shared" si="5"/>
        <v>0.73809523809523814</v>
      </c>
      <c r="AP19" s="5">
        <f t="shared" si="3"/>
        <v>9.4285714285714288</v>
      </c>
      <c r="AQ19" s="5">
        <f t="shared" si="4"/>
        <v>34.214285714285715</v>
      </c>
      <c r="AU19">
        <v>8.8333333333333339</v>
      </c>
      <c r="AV19">
        <v>34.166666666666664</v>
      </c>
      <c r="AX19">
        <v>9.4285714285714288</v>
      </c>
      <c r="AY19">
        <v>34.214285714285715</v>
      </c>
    </row>
    <row r="20" spans="1:51" x14ac:dyDescent="0.45">
      <c r="A20" s="3">
        <v>13.2</v>
      </c>
      <c r="B20" s="3">
        <v>0</v>
      </c>
      <c r="C20" s="3">
        <v>16</v>
      </c>
      <c r="D20" s="3">
        <v>24</v>
      </c>
      <c r="F20" s="3">
        <v>13.2</v>
      </c>
      <c r="G20" s="3">
        <v>1</v>
      </c>
      <c r="H20" s="3">
        <v>8</v>
      </c>
      <c r="I20" s="3">
        <v>47</v>
      </c>
      <c r="K20" s="3">
        <v>13.2</v>
      </c>
      <c r="L20" s="3">
        <v>0</v>
      </c>
      <c r="M20" s="3">
        <v>11</v>
      </c>
      <c r="N20" s="3">
        <v>35</v>
      </c>
      <c r="P20" s="3">
        <v>13.2</v>
      </c>
      <c r="Q20" s="3">
        <v>0</v>
      </c>
      <c r="R20" s="3">
        <v>8</v>
      </c>
      <c r="S20" s="3">
        <v>40</v>
      </c>
      <c r="U20" s="3">
        <v>13.2</v>
      </c>
      <c r="V20" s="3">
        <v>0</v>
      </c>
      <c r="W20" s="3">
        <v>13</v>
      </c>
      <c r="X20" s="3">
        <v>37</v>
      </c>
      <c r="Z20" s="3">
        <v>13.2</v>
      </c>
      <c r="AA20" s="3">
        <v>0</v>
      </c>
      <c r="AB20" s="3">
        <v>12</v>
      </c>
      <c r="AC20" s="3">
        <v>44</v>
      </c>
      <c r="AE20" s="3">
        <v>13.2</v>
      </c>
      <c r="AF20" s="3">
        <v>4</v>
      </c>
      <c r="AG20" s="3">
        <v>69</v>
      </c>
      <c r="AH20" s="3">
        <v>216</v>
      </c>
      <c r="AJ20" s="3">
        <v>13.2</v>
      </c>
      <c r="AK20" s="5">
        <f t="shared" si="0"/>
        <v>0.16666666666666666</v>
      </c>
      <c r="AL20" s="5">
        <f t="shared" si="1"/>
        <v>11.333333333333334</v>
      </c>
      <c r="AM20" s="5">
        <f t="shared" si="2"/>
        <v>37.833333333333336</v>
      </c>
      <c r="AO20" s="5">
        <f t="shared" si="5"/>
        <v>0.59523809523809512</v>
      </c>
      <c r="AP20" s="5">
        <f t="shared" si="3"/>
        <v>11.761904761904763</v>
      </c>
      <c r="AQ20" s="5">
        <f t="shared" si="4"/>
        <v>36.214285714285715</v>
      </c>
      <c r="AU20">
        <v>11.333333333333334</v>
      </c>
      <c r="AV20">
        <v>37.833333333333336</v>
      </c>
      <c r="AX20">
        <v>11.761904761904763</v>
      </c>
      <c r="AY20">
        <v>36.214285714285715</v>
      </c>
    </row>
    <row r="21" spans="1:51" x14ac:dyDescent="0.45">
      <c r="A21" s="3">
        <v>13.4</v>
      </c>
      <c r="B21" s="3">
        <v>1</v>
      </c>
      <c r="C21" s="3">
        <v>14</v>
      </c>
      <c r="D21" s="3">
        <v>40</v>
      </c>
      <c r="F21" s="3">
        <v>13.4</v>
      </c>
      <c r="G21" s="3">
        <v>0</v>
      </c>
      <c r="H21" s="3">
        <v>12</v>
      </c>
      <c r="I21" s="3">
        <v>32</v>
      </c>
      <c r="K21" s="3">
        <v>13.4</v>
      </c>
      <c r="L21" s="3">
        <v>1</v>
      </c>
      <c r="M21" s="3">
        <v>11</v>
      </c>
      <c r="N21" s="3">
        <v>38</v>
      </c>
      <c r="P21" s="3">
        <v>13.4</v>
      </c>
      <c r="Q21" s="3">
        <v>1</v>
      </c>
      <c r="R21" s="3">
        <v>17</v>
      </c>
      <c r="S21" s="3">
        <v>35</v>
      </c>
      <c r="U21" s="3">
        <v>13.4</v>
      </c>
      <c r="V21" s="3">
        <v>2</v>
      </c>
      <c r="W21" s="3">
        <v>19</v>
      </c>
      <c r="X21" s="3">
        <v>38</v>
      </c>
      <c r="Z21" s="3">
        <v>13.4</v>
      </c>
      <c r="AA21" s="3">
        <v>1</v>
      </c>
      <c r="AB21" s="3">
        <v>13</v>
      </c>
      <c r="AC21" s="3">
        <v>51</v>
      </c>
      <c r="AE21" s="3">
        <v>13.4</v>
      </c>
      <c r="AF21" s="3">
        <v>2</v>
      </c>
      <c r="AG21" s="3">
        <v>88</v>
      </c>
      <c r="AH21" s="3">
        <v>204</v>
      </c>
      <c r="AJ21" s="3">
        <v>13.4</v>
      </c>
      <c r="AK21" s="5">
        <f t="shared" si="0"/>
        <v>1</v>
      </c>
      <c r="AL21" s="5">
        <f t="shared" si="1"/>
        <v>14.333333333333334</v>
      </c>
      <c r="AM21" s="5">
        <f t="shared" si="2"/>
        <v>39</v>
      </c>
      <c r="AO21" s="5">
        <f t="shared" si="5"/>
        <v>0.54761904761904767</v>
      </c>
      <c r="AP21" s="5">
        <f t="shared" si="3"/>
        <v>14.238095238095237</v>
      </c>
      <c r="AQ21" s="5">
        <f t="shared" si="4"/>
        <v>38.928571428571431</v>
      </c>
      <c r="AU21">
        <v>14.333333333333334</v>
      </c>
      <c r="AV21">
        <v>39</v>
      </c>
      <c r="AX21">
        <v>14.238095238095237</v>
      </c>
      <c r="AY21">
        <v>38.928571428571431</v>
      </c>
    </row>
    <row r="22" spans="1:51" x14ac:dyDescent="0.45">
      <c r="A22" s="3">
        <v>13.6</v>
      </c>
      <c r="B22" s="3">
        <v>0</v>
      </c>
      <c r="C22" s="3">
        <v>22</v>
      </c>
      <c r="D22" s="3">
        <v>42</v>
      </c>
      <c r="F22" s="3">
        <v>13.6</v>
      </c>
      <c r="G22" s="3">
        <v>1</v>
      </c>
      <c r="H22" s="3">
        <v>13</v>
      </c>
      <c r="I22" s="3">
        <v>59</v>
      </c>
      <c r="K22" s="3">
        <v>13.6</v>
      </c>
      <c r="L22" s="3">
        <v>0</v>
      </c>
      <c r="M22" s="3">
        <v>16</v>
      </c>
      <c r="N22" s="3">
        <v>47</v>
      </c>
      <c r="P22" s="3">
        <v>13.6</v>
      </c>
      <c r="Q22" s="3">
        <v>2</v>
      </c>
      <c r="R22" s="3">
        <v>15</v>
      </c>
      <c r="S22" s="3">
        <v>51</v>
      </c>
      <c r="U22" s="3">
        <v>13.6</v>
      </c>
      <c r="V22" s="3">
        <v>0</v>
      </c>
      <c r="W22" s="3">
        <v>14</v>
      </c>
      <c r="X22" s="3">
        <v>32</v>
      </c>
      <c r="Z22" s="3">
        <v>13.6</v>
      </c>
      <c r="AA22" s="3">
        <v>1</v>
      </c>
      <c r="AB22" s="3">
        <v>24</v>
      </c>
      <c r="AC22" s="3">
        <v>39</v>
      </c>
      <c r="AE22" s="3">
        <v>13.6</v>
      </c>
      <c r="AF22" s="3">
        <v>1</v>
      </c>
      <c r="AG22" s="3">
        <v>118</v>
      </c>
      <c r="AH22" s="3">
        <v>265</v>
      </c>
      <c r="AJ22" s="3">
        <v>13.6</v>
      </c>
      <c r="AK22" s="5">
        <f t="shared" si="0"/>
        <v>0.66666666666666663</v>
      </c>
      <c r="AL22" s="5">
        <f t="shared" si="1"/>
        <v>17.333333333333332</v>
      </c>
      <c r="AM22" s="5">
        <f t="shared" si="2"/>
        <v>45</v>
      </c>
      <c r="AO22" s="5">
        <f t="shared" si="5"/>
        <v>0.73809523809523814</v>
      </c>
      <c r="AP22" s="5">
        <f t="shared" si="3"/>
        <v>16.999999999999996</v>
      </c>
      <c r="AQ22" s="5">
        <f t="shared" si="4"/>
        <v>42.928571428571431</v>
      </c>
      <c r="AU22">
        <v>17.333333333333332</v>
      </c>
      <c r="AV22">
        <v>45</v>
      </c>
      <c r="AX22">
        <v>16.999999999999996</v>
      </c>
      <c r="AY22">
        <v>42.928571428571431</v>
      </c>
    </row>
    <row r="23" spans="1:51" x14ac:dyDescent="0.45">
      <c r="A23" s="3">
        <v>13.8</v>
      </c>
      <c r="B23" s="3">
        <v>1</v>
      </c>
      <c r="C23" s="3">
        <v>22</v>
      </c>
      <c r="D23" s="3">
        <v>42</v>
      </c>
      <c r="F23" s="3">
        <v>13.8</v>
      </c>
      <c r="G23" s="3">
        <v>1</v>
      </c>
      <c r="H23" s="3">
        <v>19</v>
      </c>
      <c r="I23" s="3">
        <v>39</v>
      </c>
      <c r="K23" s="3">
        <v>13.8</v>
      </c>
      <c r="L23" s="3">
        <v>0</v>
      </c>
      <c r="M23" s="3">
        <v>21</v>
      </c>
      <c r="N23" s="3">
        <v>46</v>
      </c>
      <c r="P23" s="3">
        <v>13.8</v>
      </c>
      <c r="Q23" s="3">
        <v>0</v>
      </c>
      <c r="R23" s="3">
        <v>20</v>
      </c>
      <c r="S23" s="3">
        <v>51</v>
      </c>
      <c r="U23" s="3">
        <v>13.8</v>
      </c>
      <c r="V23" s="3">
        <v>0</v>
      </c>
      <c r="W23" s="3">
        <v>17</v>
      </c>
      <c r="X23" s="3">
        <v>36</v>
      </c>
      <c r="Z23" s="3">
        <v>13.8</v>
      </c>
      <c r="AA23" s="3">
        <v>0</v>
      </c>
      <c r="AB23" s="3">
        <v>18</v>
      </c>
      <c r="AC23" s="3">
        <v>34</v>
      </c>
      <c r="AE23" s="3">
        <v>13.8</v>
      </c>
      <c r="AF23" s="3">
        <v>3</v>
      </c>
      <c r="AG23" s="3">
        <v>104</v>
      </c>
      <c r="AH23" s="3">
        <v>241</v>
      </c>
      <c r="AJ23" s="3">
        <v>13.8</v>
      </c>
      <c r="AK23" s="5">
        <f t="shared" si="0"/>
        <v>0.33333333333333331</v>
      </c>
      <c r="AL23" s="5">
        <f t="shared" si="1"/>
        <v>19.5</v>
      </c>
      <c r="AM23" s="5">
        <f t="shared" si="2"/>
        <v>41.333333333333336</v>
      </c>
      <c r="AO23" s="5">
        <f t="shared" si="5"/>
        <v>0.7142857142857143</v>
      </c>
      <c r="AP23" s="5">
        <f t="shared" si="3"/>
        <v>19.309523809523807</v>
      </c>
      <c r="AQ23" s="5">
        <f t="shared" si="4"/>
        <v>45.404761904761912</v>
      </c>
      <c r="AU23">
        <v>19.5</v>
      </c>
      <c r="AV23">
        <v>41.333333333333336</v>
      </c>
      <c r="AX23">
        <v>19.309523809523807</v>
      </c>
      <c r="AY23">
        <v>45.404761904761912</v>
      </c>
    </row>
    <row r="24" spans="1:51" x14ac:dyDescent="0.45">
      <c r="A24" s="3">
        <v>14</v>
      </c>
      <c r="B24" s="3">
        <v>0</v>
      </c>
      <c r="C24" s="3">
        <v>23</v>
      </c>
      <c r="D24" s="3">
        <v>48</v>
      </c>
      <c r="F24" s="3">
        <v>14</v>
      </c>
      <c r="G24" s="3">
        <v>0</v>
      </c>
      <c r="H24" s="3">
        <v>23</v>
      </c>
      <c r="I24" s="3">
        <v>42</v>
      </c>
      <c r="K24" s="3">
        <v>14</v>
      </c>
      <c r="L24" s="3">
        <v>0</v>
      </c>
      <c r="M24" s="3">
        <v>14</v>
      </c>
      <c r="N24" s="3">
        <v>59</v>
      </c>
      <c r="P24" s="3">
        <v>14</v>
      </c>
      <c r="Q24" s="3">
        <v>0</v>
      </c>
      <c r="R24" s="3">
        <v>30</v>
      </c>
      <c r="S24" s="3">
        <v>50</v>
      </c>
      <c r="U24" s="3">
        <v>14</v>
      </c>
      <c r="V24" s="3">
        <v>1</v>
      </c>
      <c r="W24" s="3">
        <v>17</v>
      </c>
      <c r="X24" s="3">
        <v>39</v>
      </c>
      <c r="Z24" s="3">
        <v>14</v>
      </c>
      <c r="AA24" s="3">
        <v>1</v>
      </c>
      <c r="AB24" s="3">
        <v>27</v>
      </c>
      <c r="AC24" s="3">
        <v>49</v>
      </c>
      <c r="AE24" s="3">
        <v>14</v>
      </c>
      <c r="AF24" s="3">
        <v>5</v>
      </c>
      <c r="AG24" s="3">
        <v>145</v>
      </c>
      <c r="AH24" s="3">
        <v>284</v>
      </c>
      <c r="AJ24" s="3">
        <v>14</v>
      </c>
      <c r="AK24" s="5">
        <f t="shared" si="0"/>
        <v>0.33333333333333331</v>
      </c>
      <c r="AL24" s="5">
        <f t="shared" si="1"/>
        <v>22.333333333333332</v>
      </c>
      <c r="AM24" s="5">
        <f t="shared" si="2"/>
        <v>47.833333333333336</v>
      </c>
      <c r="AO24" s="5">
        <f t="shared" si="5"/>
        <v>0.83333333333333326</v>
      </c>
      <c r="AP24" s="5">
        <f t="shared" si="3"/>
        <v>22.047619047619044</v>
      </c>
      <c r="AQ24" s="5">
        <f t="shared" si="4"/>
        <v>47.666666666666671</v>
      </c>
      <c r="AU24">
        <v>22.333333333333332</v>
      </c>
      <c r="AV24">
        <v>47.833333333333336</v>
      </c>
      <c r="AX24">
        <v>22.047619047619044</v>
      </c>
      <c r="AY24">
        <v>47.666666666666671</v>
      </c>
    </row>
    <row r="25" spans="1:51" x14ac:dyDescent="0.45">
      <c r="A25" s="3">
        <v>14.2</v>
      </c>
      <c r="B25" s="3">
        <v>1</v>
      </c>
      <c r="C25" s="3">
        <v>21</v>
      </c>
      <c r="D25" s="3">
        <v>52</v>
      </c>
      <c r="F25" s="3">
        <v>14.2</v>
      </c>
      <c r="G25" s="3">
        <v>0</v>
      </c>
      <c r="H25" s="3">
        <v>27</v>
      </c>
      <c r="I25" s="3">
        <v>49</v>
      </c>
      <c r="K25" s="3">
        <v>14.2</v>
      </c>
      <c r="L25" s="3">
        <v>1</v>
      </c>
      <c r="M25" s="3">
        <v>20</v>
      </c>
      <c r="N25" s="3">
        <v>61</v>
      </c>
      <c r="P25" s="3">
        <v>14.2</v>
      </c>
      <c r="Q25" s="3">
        <v>2</v>
      </c>
      <c r="R25" s="3">
        <v>25</v>
      </c>
      <c r="S25" s="3">
        <v>52</v>
      </c>
      <c r="U25" s="3">
        <v>14.2</v>
      </c>
      <c r="V25" s="3">
        <v>2</v>
      </c>
      <c r="W25" s="3">
        <v>32</v>
      </c>
      <c r="X25" s="3">
        <v>54</v>
      </c>
      <c r="Z25" s="3">
        <v>14.2</v>
      </c>
      <c r="AA25" s="3">
        <v>3</v>
      </c>
      <c r="AB25" s="3">
        <v>27</v>
      </c>
      <c r="AC25" s="3">
        <v>64</v>
      </c>
      <c r="AE25" s="3">
        <v>14.2</v>
      </c>
      <c r="AF25" s="3">
        <v>7</v>
      </c>
      <c r="AG25" s="3">
        <v>148</v>
      </c>
      <c r="AH25" s="3">
        <v>253</v>
      </c>
      <c r="AJ25" s="3">
        <v>14.2</v>
      </c>
      <c r="AK25" s="5">
        <f t="shared" si="0"/>
        <v>1.5</v>
      </c>
      <c r="AL25" s="5">
        <f t="shared" si="1"/>
        <v>25.333333333333332</v>
      </c>
      <c r="AM25" s="5">
        <f t="shared" si="2"/>
        <v>55.333333333333336</v>
      </c>
      <c r="AO25" s="7">
        <f t="shared" si="5"/>
        <v>0.9285714285714286</v>
      </c>
      <c r="AP25" s="5">
        <f t="shared" si="3"/>
        <v>24.666666666666664</v>
      </c>
      <c r="AQ25" s="5">
        <f t="shared" si="4"/>
        <v>50.714285714285715</v>
      </c>
      <c r="AU25">
        <v>25.333333333333332</v>
      </c>
      <c r="AV25">
        <v>55.333333333333336</v>
      </c>
      <c r="AW25">
        <v>0.9285714285714286</v>
      </c>
      <c r="AX25">
        <v>24.666666666666664</v>
      </c>
      <c r="AY25">
        <v>50.714285714285715</v>
      </c>
    </row>
    <row r="26" spans="1:51" x14ac:dyDescent="0.45">
      <c r="A26" s="3">
        <v>14.4</v>
      </c>
      <c r="B26" s="3">
        <v>2</v>
      </c>
      <c r="C26" s="3">
        <v>19</v>
      </c>
      <c r="D26" s="3">
        <v>44</v>
      </c>
      <c r="F26" s="3">
        <v>14.4</v>
      </c>
      <c r="G26" s="3">
        <v>1</v>
      </c>
      <c r="H26" s="3">
        <v>27</v>
      </c>
      <c r="I26" s="3">
        <v>60</v>
      </c>
      <c r="K26" s="3">
        <v>14.4</v>
      </c>
      <c r="L26" s="3">
        <v>0</v>
      </c>
      <c r="M26" s="3">
        <v>26</v>
      </c>
      <c r="N26" s="3">
        <v>48</v>
      </c>
      <c r="P26" s="3">
        <v>14.4</v>
      </c>
      <c r="Q26" s="3">
        <v>0</v>
      </c>
      <c r="R26" s="3">
        <v>19</v>
      </c>
      <c r="S26" s="3">
        <v>55</v>
      </c>
      <c r="U26" s="3">
        <v>14.4</v>
      </c>
      <c r="V26" s="3">
        <v>2</v>
      </c>
      <c r="W26" s="3">
        <v>25</v>
      </c>
      <c r="X26" s="3">
        <v>46</v>
      </c>
      <c r="Z26" s="3">
        <v>14.4</v>
      </c>
      <c r="AA26" s="3">
        <v>1</v>
      </c>
      <c r="AB26" s="3">
        <v>34</v>
      </c>
      <c r="AC26" s="3">
        <v>56</v>
      </c>
      <c r="AE26" s="3">
        <v>14.4</v>
      </c>
      <c r="AF26" s="3">
        <v>5</v>
      </c>
      <c r="AG26" s="3">
        <v>164</v>
      </c>
      <c r="AH26" s="3">
        <v>299</v>
      </c>
      <c r="AJ26" s="3">
        <v>14.4</v>
      </c>
      <c r="AK26" s="5">
        <f t="shared" si="0"/>
        <v>1</v>
      </c>
      <c r="AL26" s="5">
        <f t="shared" si="1"/>
        <v>25</v>
      </c>
      <c r="AM26" s="5">
        <f t="shared" si="2"/>
        <v>51.5</v>
      </c>
      <c r="AO26" s="5">
        <f t="shared" si="5"/>
        <v>1.2857142857142858</v>
      </c>
      <c r="AP26" s="5">
        <f t="shared" si="3"/>
        <v>26.809523809523807</v>
      </c>
      <c r="AQ26" s="5">
        <f t="shared" si="4"/>
        <v>52.785714285714285</v>
      </c>
      <c r="AU26">
        <v>25</v>
      </c>
      <c r="AV26">
        <v>51.5</v>
      </c>
      <c r="AW26">
        <v>1.2857142857142858</v>
      </c>
      <c r="AX26">
        <v>26.809523809523807</v>
      </c>
      <c r="AY26">
        <v>52.785714285714285</v>
      </c>
    </row>
    <row r="27" spans="1:51" x14ac:dyDescent="0.45">
      <c r="A27" s="3">
        <v>14.6</v>
      </c>
      <c r="B27" s="3">
        <v>1</v>
      </c>
      <c r="C27" s="3">
        <v>28</v>
      </c>
      <c r="D27" s="3">
        <v>47</v>
      </c>
      <c r="F27" s="3">
        <v>14.6</v>
      </c>
      <c r="G27" s="3">
        <v>0</v>
      </c>
      <c r="H27" s="3">
        <v>27</v>
      </c>
      <c r="I27" s="3">
        <v>65</v>
      </c>
      <c r="K27" s="3">
        <v>14.6</v>
      </c>
      <c r="L27" s="3">
        <v>2</v>
      </c>
      <c r="M27" s="3">
        <v>32</v>
      </c>
      <c r="N27" s="3">
        <v>64</v>
      </c>
      <c r="P27" s="3">
        <v>14.6</v>
      </c>
      <c r="Q27" s="3">
        <v>2</v>
      </c>
      <c r="R27" s="3">
        <v>35</v>
      </c>
      <c r="S27" s="3">
        <v>36</v>
      </c>
      <c r="U27" s="3">
        <v>14.6</v>
      </c>
      <c r="V27" s="3">
        <v>1</v>
      </c>
      <c r="W27" s="3">
        <v>31</v>
      </c>
      <c r="X27" s="3">
        <v>51</v>
      </c>
      <c r="Z27" s="3">
        <v>14.6</v>
      </c>
      <c r="AA27" s="3">
        <v>0</v>
      </c>
      <c r="AB27" s="3">
        <v>30</v>
      </c>
      <c r="AC27" s="3">
        <v>59</v>
      </c>
      <c r="AE27" s="3">
        <v>14.6</v>
      </c>
      <c r="AF27" s="3">
        <v>6</v>
      </c>
      <c r="AG27" s="3">
        <v>170</v>
      </c>
      <c r="AH27" s="3">
        <v>328</v>
      </c>
      <c r="AJ27" s="3">
        <v>14.6</v>
      </c>
      <c r="AK27" s="7">
        <f t="shared" si="0"/>
        <v>1</v>
      </c>
      <c r="AL27" s="5">
        <f t="shared" si="1"/>
        <v>30.5</v>
      </c>
      <c r="AM27" s="5">
        <f t="shared" si="2"/>
        <v>53.666666666666664</v>
      </c>
      <c r="AO27" s="5">
        <f t="shared" si="5"/>
        <v>2.2857142857142856</v>
      </c>
      <c r="AP27" s="5">
        <f t="shared" si="3"/>
        <v>29.047619047619044</v>
      </c>
      <c r="AQ27" s="5">
        <f t="shared" si="4"/>
        <v>56.833333333333336</v>
      </c>
      <c r="AT27">
        <v>1</v>
      </c>
      <c r="AU27">
        <v>30.5</v>
      </c>
      <c r="AV27">
        <v>53.666666666666664</v>
      </c>
      <c r="AW27">
        <v>2.2857142857142856</v>
      </c>
      <c r="AX27">
        <v>29.047619047619044</v>
      </c>
      <c r="AY27">
        <v>56.833333333333336</v>
      </c>
    </row>
    <row r="28" spans="1:51" x14ac:dyDescent="0.45">
      <c r="A28" s="3">
        <v>14.8</v>
      </c>
      <c r="B28" s="3">
        <v>4</v>
      </c>
      <c r="C28" s="3">
        <v>29</v>
      </c>
      <c r="D28" s="3">
        <v>57</v>
      </c>
      <c r="F28" s="3">
        <v>14.8</v>
      </c>
      <c r="G28" s="3">
        <v>2</v>
      </c>
      <c r="H28" s="3">
        <v>38</v>
      </c>
      <c r="I28" s="3">
        <v>67</v>
      </c>
      <c r="K28" s="3">
        <v>14.8</v>
      </c>
      <c r="L28" s="3">
        <v>0</v>
      </c>
      <c r="M28" s="3">
        <v>32</v>
      </c>
      <c r="N28" s="3">
        <v>70</v>
      </c>
      <c r="P28" s="3">
        <v>14.8</v>
      </c>
      <c r="Q28" s="3">
        <v>2</v>
      </c>
      <c r="R28" s="3">
        <v>33</v>
      </c>
      <c r="S28" s="3">
        <v>60</v>
      </c>
      <c r="U28" s="3">
        <v>14.8</v>
      </c>
      <c r="V28" s="3">
        <v>1</v>
      </c>
      <c r="W28" s="3">
        <v>39</v>
      </c>
      <c r="X28" s="3">
        <v>52</v>
      </c>
      <c r="Z28" s="3">
        <v>14.8</v>
      </c>
      <c r="AA28" s="3">
        <v>1</v>
      </c>
      <c r="AB28" s="3">
        <v>25</v>
      </c>
      <c r="AC28" s="3">
        <v>56</v>
      </c>
      <c r="AE28" s="3">
        <v>14.8</v>
      </c>
      <c r="AF28" s="3">
        <v>10</v>
      </c>
      <c r="AG28" s="3">
        <v>193</v>
      </c>
      <c r="AH28" s="3">
        <v>348</v>
      </c>
      <c r="AJ28" s="3">
        <v>14.8</v>
      </c>
      <c r="AK28" s="5">
        <f t="shared" si="0"/>
        <v>1.6666666666666667</v>
      </c>
      <c r="AL28" s="5">
        <f t="shared" si="1"/>
        <v>32.666666666666664</v>
      </c>
      <c r="AM28" s="5">
        <f t="shared" si="2"/>
        <v>60.333333333333336</v>
      </c>
      <c r="AO28" s="5">
        <f t="shared" si="5"/>
        <v>3.3809523809523809</v>
      </c>
      <c r="AP28" s="5">
        <f t="shared" si="3"/>
        <v>31.642857142857142</v>
      </c>
      <c r="AQ28" s="5">
        <f t="shared" si="4"/>
        <v>58.976190476190482</v>
      </c>
      <c r="AT28">
        <v>1.6666666666666667</v>
      </c>
      <c r="AU28">
        <v>32.666666666666664</v>
      </c>
      <c r="AV28">
        <v>60.333333333333336</v>
      </c>
      <c r="AW28">
        <v>3.3809523809523809</v>
      </c>
      <c r="AX28">
        <v>31.642857142857142</v>
      </c>
      <c r="AY28">
        <v>58.976190476190482</v>
      </c>
    </row>
    <row r="29" spans="1:51" x14ac:dyDescent="0.45">
      <c r="A29" s="3">
        <v>15</v>
      </c>
      <c r="B29" s="3">
        <v>3</v>
      </c>
      <c r="C29" s="3">
        <v>34</v>
      </c>
      <c r="D29" s="3">
        <v>59</v>
      </c>
      <c r="F29" s="3">
        <v>15</v>
      </c>
      <c r="G29" s="3">
        <v>2</v>
      </c>
      <c r="H29" s="3">
        <v>32</v>
      </c>
      <c r="I29" s="3">
        <v>53</v>
      </c>
      <c r="K29" s="3">
        <v>15</v>
      </c>
      <c r="L29" s="3">
        <v>2</v>
      </c>
      <c r="M29" s="3">
        <v>29</v>
      </c>
      <c r="N29" s="3">
        <v>56</v>
      </c>
      <c r="P29" s="3">
        <v>15</v>
      </c>
      <c r="Q29" s="3">
        <v>5</v>
      </c>
      <c r="R29" s="3">
        <v>33</v>
      </c>
      <c r="S29" s="3">
        <v>66</v>
      </c>
      <c r="U29" s="3">
        <v>15</v>
      </c>
      <c r="V29" s="3">
        <v>1</v>
      </c>
      <c r="W29" s="3">
        <v>30</v>
      </c>
      <c r="X29" s="3">
        <v>65</v>
      </c>
      <c r="Z29" s="3">
        <v>15</v>
      </c>
      <c r="AA29" s="3">
        <v>6</v>
      </c>
      <c r="AB29" s="3">
        <v>36</v>
      </c>
      <c r="AC29" s="3">
        <v>58</v>
      </c>
      <c r="AE29" s="3">
        <v>15</v>
      </c>
      <c r="AF29" s="3">
        <v>34</v>
      </c>
      <c r="AG29" s="3">
        <v>190</v>
      </c>
      <c r="AH29" s="3">
        <v>320</v>
      </c>
      <c r="AJ29" s="3">
        <v>15</v>
      </c>
      <c r="AK29" s="5">
        <f t="shared" si="0"/>
        <v>3.1666666666666665</v>
      </c>
      <c r="AL29" s="5">
        <f t="shared" si="1"/>
        <v>32.333333333333336</v>
      </c>
      <c r="AM29" s="5">
        <f t="shared" si="2"/>
        <v>59.5</v>
      </c>
      <c r="AO29" s="5">
        <f t="shared" si="5"/>
        <v>4.8571428571428568</v>
      </c>
      <c r="AP29" s="5">
        <f t="shared" si="3"/>
        <v>33.80952380952381</v>
      </c>
      <c r="AQ29" s="5">
        <f t="shared" si="4"/>
        <v>61.357142857142854</v>
      </c>
      <c r="AT29">
        <v>3.1666666666666665</v>
      </c>
      <c r="AU29">
        <v>32.333333333333336</v>
      </c>
      <c r="AV29">
        <v>59.5</v>
      </c>
      <c r="AW29">
        <v>4.8571428571428568</v>
      </c>
      <c r="AX29">
        <v>33.80952380952381</v>
      </c>
      <c r="AY29">
        <v>61.357142857142854</v>
      </c>
    </row>
    <row r="30" spans="1:51" x14ac:dyDescent="0.45">
      <c r="A30" s="3">
        <v>15.2</v>
      </c>
      <c r="B30" s="3">
        <v>7</v>
      </c>
      <c r="C30" s="3">
        <v>24</v>
      </c>
      <c r="D30" s="3">
        <v>78</v>
      </c>
      <c r="F30" s="3">
        <v>15.2</v>
      </c>
      <c r="G30" s="3">
        <v>6</v>
      </c>
      <c r="H30" s="3">
        <v>38</v>
      </c>
      <c r="I30" s="3">
        <v>72</v>
      </c>
      <c r="K30" s="3">
        <v>15.2</v>
      </c>
      <c r="L30" s="3">
        <v>7</v>
      </c>
      <c r="M30" s="3">
        <v>31</v>
      </c>
      <c r="N30" s="3">
        <v>63</v>
      </c>
      <c r="P30" s="3">
        <v>15.2</v>
      </c>
      <c r="Q30" s="3">
        <v>5</v>
      </c>
      <c r="R30" s="3">
        <v>37</v>
      </c>
      <c r="S30" s="3">
        <v>72</v>
      </c>
      <c r="U30" s="3">
        <v>15.2</v>
      </c>
      <c r="V30" s="3">
        <v>4</v>
      </c>
      <c r="W30" s="3">
        <v>36</v>
      </c>
      <c r="X30" s="3">
        <v>66</v>
      </c>
      <c r="Z30" s="3">
        <v>15.2</v>
      </c>
      <c r="AA30" s="3">
        <v>15</v>
      </c>
      <c r="AB30" s="3">
        <v>45</v>
      </c>
      <c r="AC30" s="3">
        <v>67</v>
      </c>
      <c r="AE30" s="3">
        <v>15.2</v>
      </c>
      <c r="AF30" s="3">
        <v>38</v>
      </c>
      <c r="AG30" s="3">
        <v>178</v>
      </c>
      <c r="AH30" s="3">
        <v>361</v>
      </c>
      <c r="AJ30" s="3">
        <v>15.2</v>
      </c>
      <c r="AK30" s="5">
        <f t="shared" si="0"/>
        <v>7.333333333333333</v>
      </c>
      <c r="AL30" s="5">
        <f t="shared" si="1"/>
        <v>35.166666666666664</v>
      </c>
      <c r="AM30" s="5">
        <f t="shared" si="2"/>
        <v>69.666666666666671</v>
      </c>
      <c r="AO30" s="5">
        <f t="shared" si="5"/>
        <v>6.3571428571428568</v>
      </c>
      <c r="AP30" s="5">
        <f t="shared" si="3"/>
        <v>37.285714285714285</v>
      </c>
      <c r="AQ30" s="5">
        <f t="shared" si="4"/>
        <v>64.738095238095241</v>
      </c>
      <c r="AT30">
        <v>7.333333333333333</v>
      </c>
      <c r="AU30">
        <v>35.166666666666664</v>
      </c>
      <c r="AV30">
        <v>69.666666666666671</v>
      </c>
      <c r="AW30">
        <v>6.3571428571428568</v>
      </c>
      <c r="AX30">
        <v>37.285714285714285</v>
      </c>
      <c r="AY30">
        <v>64.738095238095241</v>
      </c>
    </row>
    <row r="31" spans="1:51" x14ac:dyDescent="0.45">
      <c r="A31" s="3">
        <v>15.4</v>
      </c>
      <c r="B31" s="3">
        <v>11</v>
      </c>
      <c r="C31" s="3">
        <v>44</v>
      </c>
      <c r="D31" s="3">
        <v>54</v>
      </c>
      <c r="F31" s="3">
        <v>15.4</v>
      </c>
      <c r="G31" s="3">
        <v>6</v>
      </c>
      <c r="H31" s="3">
        <v>43</v>
      </c>
      <c r="I31" s="3">
        <v>60</v>
      </c>
      <c r="K31" s="3">
        <v>15.4</v>
      </c>
      <c r="L31" s="3">
        <v>8</v>
      </c>
      <c r="M31" s="3">
        <v>42</v>
      </c>
      <c r="N31" s="3">
        <v>57</v>
      </c>
      <c r="P31" s="3">
        <v>15.4</v>
      </c>
      <c r="Q31" s="3">
        <v>9</v>
      </c>
      <c r="R31" s="3">
        <v>48</v>
      </c>
      <c r="S31" s="3">
        <v>65</v>
      </c>
      <c r="U31" s="3">
        <v>15.4</v>
      </c>
      <c r="V31" s="3">
        <v>4</v>
      </c>
      <c r="W31" s="3">
        <v>29</v>
      </c>
      <c r="X31" s="3">
        <v>70</v>
      </c>
      <c r="Z31" s="3">
        <v>15.4</v>
      </c>
      <c r="AA31" s="3">
        <v>10</v>
      </c>
      <c r="AB31" s="3">
        <v>37</v>
      </c>
      <c r="AC31" s="3">
        <v>71</v>
      </c>
      <c r="AE31" s="3">
        <v>15.4</v>
      </c>
      <c r="AF31" s="3">
        <v>62</v>
      </c>
      <c r="AG31" s="3">
        <v>242</v>
      </c>
      <c r="AH31" s="3">
        <v>396</v>
      </c>
      <c r="AJ31" s="3">
        <v>15.4</v>
      </c>
      <c r="AK31" s="5">
        <f t="shared" si="0"/>
        <v>8</v>
      </c>
      <c r="AL31" s="5">
        <f t="shared" si="1"/>
        <v>40.5</v>
      </c>
      <c r="AM31" s="5">
        <f t="shared" si="2"/>
        <v>62.833333333333336</v>
      </c>
      <c r="AO31" s="5">
        <f t="shared" si="5"/>
        <v>8.5952380952380967</v>
      </c>
      <c r="AP31" s="5">
        <f t="shared" si="3"/>
        <v>38.357142857142854</v>
      </c>
      <c r="AQ31" s="5">
        <f t="shared" si="4"/>
        <v>67.785714285714292</v>
      </c>
      <c r="AT31">
        <v>8</v>
      </c>
      <c r="AU31">
        <v>40.5</v>
      </c>
      <c r="AV31">
        <v>62.833333333333336</v>
      </c>
      <c r="AW31">
        <v>8.5952380952380967</v>
      </c>
      <c r="AX31">
        <v>38.357142857142854</v>
      </c>
      <c r="AY31">
        <v>67.785714285714292</v>
      </c>
    </row>
    <row r="32" spans="1:51" x14ac:dyDescent="0.45">
      <c r="A32" s="3">
        <v>15.6</v>
      </c>
      <c r="B32" s="3">
        <v>11</v>
      </c>
      <c r="C32" s="3">
        <v>55</v>
      </c>
      <c r="D32" s="3">
        <v>63</v>
      </c>
      <c r="F32" s="3">
        <v>15.6</v>
      </c>
      <c r="G32" s="3">
        <v>16</v>
      </c>
      <c r="H32" s="3">
        <v>31</v>
      </c>
      <c r="I32" s="3">
        <v>79</v>
      </c>
      <c r="K32" s="3">
        <v>15.6</v>
      </c>
      <c r="L32" s="3">
        <v>21</v>
      </c>
      <c r="M32" s="3">
        <v>35</v>
      </c>
      <c r="N32" s="3">
        <v>60</v>
      </c>
      <c r="P32" s="3">
        <v>15.6</v>
      </c>
      <c r="Q32" s="3">
        <v>5</v>
      </c>
      <c r="R32" s="3">
        <v>31</v>
      </c>
      <c r="S32" s="3">
        <v>84</v>
      </c>
      <c r="U32" s="3">
        <v>15.6</v>
      </c>
      <c r="V32" s="3">
        <v>6</v>
      </c>
      <c r="W32" s="3">
        <v>37</v>
      </c>
      <c r="X32" s="3">
        <v>71</v>
      </c>
      <c r="Z32" s="3">
        <v>15.6</v>
      </c>
      <c r="AA32" s="3">
        <v>12</v>
      </c>
      <c r="AB32" s="3">
        <v>54</v>
      </c>
      <c r="AC32" s="3">
        <v>75</v>
      </c>
      <c r="AE32" s="3">
        <v>15.6</v>
      </c>
      <c r="AF32" s="3">
        <v>72</v>
      </c>
      <c r="AG32" s="3">
        <v>247</v>
      </c>
      <c r="AH32" s="3">
        <v>423</v>
      </c>
      <c r="AJ32" s="3">
        <v>15.6</v>
      </c>
      <c r="AK32" s="5">
        <f t="shared" si="0"/>
        <v>11.833333333333334</v>
      </c>
      <c r="AL32" s="5">
        <f t="shared" si="1"/>
        <v>40.5</v>
      </c>
      <c r="AM32" s="5">
        <f t="shared" si="2"/>
        <v>72</v>
      </c>
      <c r="AO32" s="5">
        <f t="shared" si="5"/>
        <v>10.833333333333332</v>
      </c>
      <c r="AP32" s="5">
        <f t="shared" si="3"/>
        <v>40.714285714285715</v>
      </c>
      <c r="AQ32" s="5">
        <f t="shared" si="4"/>
        <v>69.928571428571431</v>
      </c>
      <c r="AT32">
        <v>11.833333333333334</v>
      </c>
      <c r="AU32">
        <v>40.5</v>
      </c>
      <c r="AV32">
        <v>72</v>
      </c>
      <c r="AW32">
        <v>10.833333333333332</v>
      </c>
      <c r="AX32">
        <v>40.714285714285715</v>
      </c>
      <c r="AY32">
        <v>69.928571428571431</v>
      </c>
    </row>
    <row r="33" spans="1:51" x14ac:dyDescent="0.45">
      <c r="A33" s="3">
        <v>15.8</v>
      </c>
      <c r="B33" s="3">
        <v>8</v>
      </c>
      <c r="C33" s="3">
        <v>43</v>
      </c>
      <c r="D33" s="3">
        <v>84</v>
      </c>
      <c r="F33" s="3">
        <v>15.8</v>
      </c>
      <c r="G33" s="3">
        <v>10</v>
      </c>
      <c r="H33" s="3">
        <v>48</v>
      </c>
      <c r="I33" s="3">
        <v>76</v>
      </c>
      <c r="K33" s="3">
        <v>15.8</v>
      </c>
      <c r="L33" s="3">
        <v>15</v>
      </c>
      <c r="M33" s="3">
        <v>49</v>
      </c>
      <c r="N33" s="3">
        <v>63</v>
      </c>
      <c r="P33" s="3">
        <v>15.8</v>
      </c>
      <c r="Q33" s="3">
        <v>14</v>
      </c>
      <c r="R33" s="3">
        <v>43</v>
      </c>
      <c r="S33" s="3">
        <v>78</v>
      </c>
      <c r="U33" s="3">
        <v>15.8</v>
      </c>
      <c r="V33" s="3">
        <v>11</v>
      </c>
      <c r="W33" s="3">
        <v>58</v>
      </c>
      <c r="X33" s="3">
        <v>71</v>
      </c>
      <c r="Z33" s="3">
        <v>15.8</v>
      </c>
      <c r="AA33" s="3">
        <v>11</v>
      </c>
      <c r="AB33" s="3">
        <v>55</v>
      </c>
      <c r="AC33" s="3">
        <v>79</v>
      </c>
      <c r="AE33" s="3">
        <v>15.8</v>
      </c>
      <c r="AF33" s="3">
        <v>81</v>
      </c>
      <c r="AG33" s="3">
        <v>233</v>
      </c>
      <c r="AH33" s="3">
        <v>430</v>
      </c>
      <c r="AJ33" s="3">
        <v>15.8</v>
      </c>
      <c r="AK33" s="5">
        <f t="shared" si="0"/>
        <v>11.5</v>
      </c>
      <c r="AL33" s="5">
        <f t="shared" si="1"/>
        <v>49.333333333333336</v>
      </c>
      <c r="AM33" s="5">
        <f t="shared" si="2"/>
        <v>75.166666666666671</v>
      </c>
      <c r="AO33" s="5">
        <f t="shared" si="5"/>
        <v>13.285714285714283</v>
      </c>
      <c r="AP33" s="5">
        <f t="shared" si="3"/>
        <v>44.642857142857146</v>
      </c>
      <c r="AQ33" s="5">
        <f t="shared" si="4"/>
        <v>73.261904761904773</v>
      </c>
      <c r="AT33">
        <v>11.5</v>
      </c>
      <c r="AU33">
        <v>49.333333333333336</v>
      </c>
      <c r="AV33">
        <v>75.166666666666671</v>
      </c>
      <c r="AW33">
        <v>13.285714285714283</v>
      </c>
      <c r="AX33">
        <v>44.642857142857146</v>
      </c>
      <c r="AY33">
        <v>73.261904761904773</v>
      </c>
    </row>
    <row r="34" spans="1:51" x14ac:dyDescent="0.45">
      <c r="A34" s="3">
        <v>16</v>
      </c>
      <c r="B34" s="3">
        <v>12</v>
      </c>
      <c r="C34" s="3">
        <v>0</v>
      </c>
      <c r="D34" s="3">
        <v>67</v>
      </c>
      <c r="F34" s="3">
        <v>16</v>
      </c>
      <c r="G34" s="3">
        <v>17</v>
      </c>
      <c r="H34" s="3">
        <v>51</v>
      </c>
      <c r="I34" s="3">
        <v>72</v>
      </c>
      <c r="K34" s="3">
        <v>16</v>
      </c>
      <c r="L34" s="3">
        <v>14</v>
      </c>
      <c r="M34" s="3">
        <v>38</v>
      </c>
      <c r="N34" s="3">
        <v>87</v>
      </c>
      <c r="P34" s="3">
        <v>16</v>
      </c>
      <c r="Q34" s="3">
        <v>15</v>
      </c>
      <c r="R34" s="3">
        <v>49</v>
      </c>
      <c r="S34" s="3">
        <v>76</v>
      </c>
      <c r="U34" s="3">
        <v>16</v>
      </c>
      <c r="V34" s="3">
        <v>16</v>
      </c>
      <c r="W34" s="3">
        <v>43</v>
      </c>
      <c r="X34" s="3">
        <v>69</v>
      </c>
      <c r="Z34" s="3">
        <v>16</v>
      </c>
      <c r="AA34" s="3">
        <v>26</v>
      </c>
      <c r="AB34" s="3">
        <v>47</v>
      </c>
      <c r="AC34" s="3">
        <v>79</v>
      </c>
      <c r="AE34" s="3">
        <v>16</v>
      </c>
      <c r="AF34" s="3">
        <v>99</v>
      </c>
      <c r="AG34" s="3">
        <v>289</v>
      </c>
      <c r="AH34" s="3">
        <v>425</v>
      </c>
      <c r="AJ34" s="3">
        <v>16</v>
      </c>
      <c r="AK34" s="5">
        <f t="shared" si="0"/>
        <v>16.666666666666668</v>
      </c>
      <c r="AL34" s="5">
        <f t="shared" si="1"/>
        <v>38</v>
      </c>
      <c r="AM34" s="5">
        <f t="shared" si="2"/>
        <v>75</v>
      </c>
      <c r="AO34" s="5">
        <f t="shared" si="5"/>
        <v>15.714285714285712</v>
      </c>
      <c r="AP34" s="5">
        <f t="shared" si="3"/>
        <v>47.642857142857146</v>
      </c>
      <c r="AQ34" s="5">
        <f t="shared" si="4"/>
        <v>75.214285714285708</v>
      </c>
      <c r="AT34">
        <v>16.666666666666668</v>
      </c>
      <c r="AU34">
        <v>38</v>
      </c>
      <c r="AV34">
        <v>75</v>
      </c>
      <c r="AW34">
        <v>15.714285714285712</v>
      </c>
      <c r="AX34">
        <v>47.642857142857146</v>
      </c>
      <c r="AY34">
        <v>75.214285714285708</v>
      </c>
    </row>
    <row r="35" spans="1:51" x14ac:dyDescent="0.45">
      <c r="A35" s="3">
        <v>16.2</v>
      </c>
      <c r="B35" s="3">
        <v>15</v>
      </c>
      <c r="C35" s="3">
        <v>47</v>
      </c>
      <c r="D35" s="3">
        <v>61</v>
      </c>
      <c r="F35" s="3">
        <v>16.2</v>
      </c>
      <c r="G35" s="3">
        <v>18</v>
      </c>
      <c r="H35" s="3">
        <v>57</v>
      </c>
      <c r="I35" s="3">
        <v>83</v>
      </c>
      <c r="K35" s="3">
        <v>16.2</v>
      </c>
      <c r="L35" s="3">
        <v>17</v>
      </c>
      <c r="M35" s="3">
        <v>45</v>
      </c>
      <c r="N35" s="3">
        <v>86</v>
      </c>
      <c r="P35" s="3">
        <v>16.2</v>
      </c>
      <c r="Q35" s="3">
        <v>16</v>
      </c>
      <c r="R35" s="3">
        <v>46</v>
      </c>
      <c r="S35" s="3">
        <v>62</v>
      </c>
      <c r="U35" s="3">
        <v>16.2</v>
      </c>
      <c r="V35" s="3">
        <v>18</v>
      </c>
      <c r="W35" s="3">
        <v>52</v>
      </c>
      <c r="X35" s="3">
        <v>72</v>
      </c>
      <c r="Z35" s="3">
        <v>16.2</v>
      </c>
      <c r="AA35" s="3">
        <v>20</v>
      </c>
      <c r="AB35" s="3">
        <v>48</v>
      </c>
      <c r="AC35" s="3">
        <v>88</v>
      </c>
      <c r="AE35" s="3">
        <v>16.2</v>
      </c>
      <c r="AF35" s="3">
        <v>114</v>
      </c>
      <c r="AG35" s="3">
        <v>288</v>
      </c>
      <c r="AH35" s="3">
        <v>400</v>
      </c>
      <c r="AJ35" s="3">
        <v>16.2</v>
      </c>
      <c r="AK35" s="5">
        <f t="shared" si="0"/>
        <v>17.333333333333332</v>
      </c>
      <c r="AL35" s="5">
        <f t="shared" si="1"/>
        <v>49.166666666666664</v>
      </c>
      <c r="AM35" s="5">
        <f t="shared" si="2"/>
        <v>75.333333333333329</v>
      </c>
      <c r="AO35" s="5">
        <f t="shared" si="5"/>
        <v>18.023809523809522</v>
      </c>
      <c r="AP35" s="5">
        <f t="shared" si="3"/>
        <v>50.428571428571431</v>
      </c>
      <c r="AQ35" s="5">
        <f t="shared" si="4"/>
        <v>77.357142857142861</v>
      </c>
      <c r="AT35">
        <v>17.333333333333332</v>
      </c>
      <c r="AU35">
        <v>49.166666666666664</v>
      </c>
      <c r="AV35">
        <v>75.333333333333329</v>
      </c>
      <c r="AW35">
        <v>18.023809523809522</v>
      </c>
      <c r="AX35">
        <v>50.428571428571431</v>
      </c>
      <c r="AY35">
        <v>77.357142857142861</v>
      </c>
    </row>
    <row r="36" spans="1:51" x14ac:dyDescent="0.45">
      <c r="A36" s="3">
        <v>16.399999999999999</v>
      </c>
      <c r="B36" s="3">
        <v>18</v>
      </c>
      <c r="C36" s="3">
        <v>49</v>
      </c>
      <c r="D36" s="3">
        <v>83</v>
      </c>
      <c r="F36" s="3">
        <v>16.399999999999999</v>
      </c>
      <c r="G36" s="3">
        <v>14</v>
      </c>
      <c r="H36" s="3">
        <v>67</v>
      </c>
      <c r="I36" s="3">
        <v>91</v>
      </c>
      <c r="K36" s="3">
        <v>16.399999999999999</v>
      </c>
      <c r="L36" s="3">
        <v>24</v>
      </c>
      <c r="M36" s="3">
        <v>65</v>
      </c>
      <c r="N36" s="3">
        <v>79</v>
      </c>
      <c r="P36" s="3">
        <v>16.399999999999999</v>
      </c>
      <c r="Q36" s="3">
        <v>19</v>
      </c>
      <c r="R36" s="3">
        <v>52</v>
      </c>
      <c r="S36" s="3">
        <v>69</v>
      </c>
      <c r="U36" s="3">
        <v>16.399999999999999</v>
      </c>
      <c r="V36" s="3">
        <v>21</v>
      </c>
      <c r="W36" s="3">
        <v>55</v>
      </c>
      <c r="X36" s="3">
        <v>82</v>
      </c>
      <c r="Z36" s="3">
        <v>16.399999999999999</v>
      </c>
      <c r="AA36" s="3">
        <v>26</v>
      </c>
      <c r="AB36" s="3">
        <v>71</v>
      </c>
      <c r="AC36" s="3">
        <v>93</v>
      </c>
      <c r="AE36" s="3">
        <v>16.399999999999999</v>
      </c>
      <c r="AF36" s="3">
        <v>104</v>
      </c>
      <c r="AG36" s="3">
        <v>280</v>
      </c>
      <c r="AH36" s="3">
        <v>449</v>
      </c>
      <c r="AJ36" s="3">
        <v>16.399999999999999</v>
      </c>
      <c r="AK36" s="5">
        <f t="shared" si="0"/>
        <v>20.333333333333332</v>
      </c>
      <c r="AL36" s="5">
        <f t="shared" si="1"/>
        <v>59.833333333333336</v>
      </c>
      <c r="AM36" s="5">
        <f t="shared" si="2"/>
        <v>82.833333333333329</v>
      </c>
      <c r="AO36" s="5">
        <f t="shared" si="5"/>
        <v>19.452380952380953</v>
      </c>
      <c r="AP36" s="5">
        <f t="shared" si="3"/>
        <v>53.285714285714285</v>
      </c>
      <c r="AQ36" s="5">
        <f t="shared" si="4"/>
        <v>79.119047619047606</v>
      </c>
      <c r="AT36">
        <v>20.333333333333332</v>
      </c>
      <c r="AU36">
        <v>59.833333333333336</v>
      </c>
      <c r="AV36">
        <v>82.833333333333329</v>
      </c>
      <c r="AW36">
        <v>19.452380952380953</v>
      </c>
      <c r="AX36">
        <v>53.285714285714285</v>
      </c>
      <c r="AY36">
        <v>79.119047619047606</v>
      </c>
    </row>
    <row r="37" spans="1:51" x14ac:dyDescent="0.45">
      <c r="A37" s="3">
        <v>16.600000000000001</v>
      </c>
      <c r="B37" s="3">
        <v>21</v>
      </c>
      <c r="C37" s="3">
        <v>63</v>
      </c>
      <c r="D37" s="3">
        <v>74</v>
      </c>
      <c r="F37" s="3">
        <v>16.600000000000001</v>
      </c>
      <c r="G37" s="3">
        <v>28</v>
      </c>
      <c r="H37" s="3">
        <v>52</v>
      </c>
      <c r="I37" s="3">
        <v>75</v>
      </c>
      <c r="K37" s="3">
        <v>16.600000000000001</v>
      </c>
      <c r="L37" s="3">
        <v>20</v>
      </c>
      <c r="M37" s="3">
        <v>50</v>
      </c>
      <c r="N37" s="3">
        <v>81</v>
      </c>
      <c r="P37" s="3">
        <v>16.600000000000001</v>
      </c>
      <c r="Q37" s="3">
        <v>25</v>
      </c>
      <c r="R37" s="3">
        <v>49</v>
      </c>
      <c r="S37" s="3">
        <v>81</v>
      </c>
      <c r="U37" s="3">
        <v>16.600000000000001</v>
      </c>
      <c r="V37" s="3">
        <v>24</v>
      </c>
      <c r="W37" s="3">
        <v>55</v>
      </c>
      <c r="X37" s="3">
        <v>96</v>
      </c>
      <c r="Z37" s="3">
        <v>16.600000000000001</v>
      </c>
      <c r="AA37" s="3">
        <v>28</v>
      </c>
      <c r="AB37" s="3">
        <v>68</v>
      </c>
      <c r="AC37" s="3">
        <v>93</v>
      </c>
      <c r="AE37" s="3">
        <v>16.600000000000001</v>
      </c>
      <c r="AF37" s="3">
        <v>129</v>
      </c>
      <c r="AG37" s="3">
        <v>352</v>
      </c>
      <c r="AH37" s="3">
        <v>440</v>
      </c>
      <c r="AJ37" s="3">
        <v>16.600000000000001</v>
      </c>
      <c r="AK37" s="5">
        <f t="shared" si="0"/>
        <v>24.333333333333332</v>
      </c>
      <c r="AL37" s="5">
        <f t="shared" si="1"/>
        <v>56.166666666666664</v>
      </c>
      <c r="AM37" s="5">
        <f t="shared" si="2"/>
        <v>83.333333333333329</v>
      </c>
      <c r="AO37" s="5">
        <f t="shared" si="5"/>
        <v>22.071428571428573</v>
      </c>
      <c r="AP37" s="5">
        <f t="shared" si="3"/>
        <v>54.547619047619044</v>
      </c>
      <c r="AQ37" s="5">
        <f t="shared" si="4"/>
        <v>80.452380952380935</v>
      </c>
      <c r="AT37">
        <v>24.333333333333332</v>
      </c>
      <c r="AU37">
        <v>56.166666666666664</v>
      </c>
      <c r="AV37">
        <v>83.333333333333329</v>
      </c>
      <c r="AW37">
        <v>22.071428571428573</v>
      </c>
      <c r="AX37">
        <v>54.547619047619044</v>
      </c>
      <c r="AY37">
        <v>80.452380952380935</v>
      </c>
    </row>
    <row r="38" spans="1:51" x14ac:dyDescent="0.45">
      <c r="A38" s="3">
        <v>16.7</v>
      </c>
      <c r="B38" s="3">
        <v>34</v>
      </c>
      <c r="C38" s="3">
        <v>64</v>
      </c>
      <c r="D38" s="3">
        <v>74</v>
      </c>
      <c r="F38" s="3">
        <v>16.7</v>
      </c>
      <c r="G38" s="3">
        <v>23</v>
      </c>
      <c r="H38" s="3">
        <v>66</v>
      </c>
      <c r="I38" s="3">
        <v>85</v>
      </c>
      <c r="K38" s="3">
        <v>16.7</v>
      </c>
      <c r="L38" s="3">
        <v>19</v>
      </c>
      <c r="M38" s="3">
        <v>67</v>
      </c>
      <c r="N38" s="3">
        <v>71</v>
      </c>
      <c r="P38" s="3">
        <v>16.7</v>
      </c>
      <c r="Q38" s="3">
        <v>14</v>
      </c>
      <c r="R38" s="3">
        <v>57</v>
      </c>
      <c r="S38" s="3">
        <v>85</v>
      </c>
      <c r="U38" s="3">
        <v>16.7</v>
      </c>
      <c r="V38" s="3">
        <v>23</v>
      </c>
      <c r="W38" s="3">
        <v>54</v>
      </c>
      <c r="X38" s="3">
        <v>78</v>
      </c>
      <c r="Z38" s="3">
        <v>16.7</v>
      </c>
      <c r="AA38" s="3">
        <v>32</v>
      </c>
      <c r="AB38" s="3">
        <v>52</v>
      </c>
      <c r="AC38" s="3">
        <v>74</v>
      </c>
      <c r="AE38" s="3">
        <v>16.7</v>
      </c>
      <c r="AF38" s="3">
        <v>145</v>
      </c>
      <c r="AG38" s="3">
        <v>333</v>
      </c>
      <c r="AH38" s="3">
        <v>463</v>
      </c>
      <c r="AJ38" s="3">
        <v>16.7</v>
      </c>
      <c r="AK38" s="5">
        <f t="shared" si="0"/>
        <v>24.166666666666668</v>
      </c>
      <c r="AL38" s="5">
        <f t="shared" si="1"/>
        <v>60</v>
      </c>
      <c r="AM38" s="5">
        <f t="shared" si="2"/>
        <v>77.833333333333329</v>
      </c>
      <c r="AO38" s="5">
        <f t="shared" si="5"/>
        <v>24.666666666666668</v>
      </c>
      <c r="AP38" s="5">
        <f t="shared" si="3"/>
        <v>57.714285714285715</v>
      </c>
      <c r="AQ38" s="5">
        <f t="shared" si="4"/>
        <v>83.261904761904745</v>
      </c>
      <c r="AT38">
        <v>24.166666666666668</v>
      </c>
      <c r="AU38">
        <v>60</v>
      </c>
      <c r="AV38">
        <v>77.833333333333329</v>
      </c>
      <c r="AW38">
        <v>24.666666666666668</v>
      </c>
      <c r="AX38">
        <v>57.714285714285715</v>
      </c>
      <c r="AY38">
        <v>83.261904761904745</v>
      </c>
    </row>
    <row r="39" spans="1:51" x14ac:dyDescent="0.45">
      <c r="A39" s="3">
        <v>17</v>
      </c>
      <c r="B39" s="3">
        <v>26</v>
      </c>
      <c r="C39" s="3">
        <v>52</v>
      </c>
      <c r="D39" s="3">
        <v>84</v>
      </c>
      <c r="F39" s="3">
        <v>17</v>
      </c>
      <c r="G39" s="3">
        <v>22</v>
      </c>
      <c r="H39" s="3">
        <v>79</v>
      </c>
      <c r="I39" s="3">
        <v>97</v>
      </c>
      <c r="K39" s="3">
        <v>17</v>
      </c>
      <c r="L39" s="3">
        <v>18</v>
      </c>
      <c r="M39" s="3">
        <v>59</v>
      </c>
      <c r="N39" s="3">
        <v>88</v>
      </c>
      <c r="P39" s="3">
        <v>17</v>
      </c>
      <c r="Q39" s="3">
        <v>16</v>
      </c>
      <c r="R39" s="3">
        <v>57</v>
      </c>
      <c r="S39" s="3">
        <v>71</v>
      </c>
      <c r="U39" s="3">
        <v>17</v>
      </c>
      <c r="V39" s="3">
        <v>27</v>
      </c>
      <c r="W39" s="3">
        <v>52</v>
      </c>
      <c r="X39" s="3">
        <v>87</v>
      </c>
      <c r="Z39" s="3">
        <v>17</v>
      </c>
      <c r="AA39" s="3">
        <v>22</v>
      </c>
      <c r="AB39" s="3">
        <v>64</v>
      </c>
      <c r="AC39" s="3">
        <v>79</v>
      </c>
      <c r="AE39" s="3">
        <v>17</v>
      </c>
      <c r="AF39" s="3">
        <v>129</v>
      </c>
      <c r="AG39" s="3">
        <v>308</v>
      </c>
      <c r="AH39" s="3">
        <v>484</v>
      </c>
      <c r="AJ39" s="3">
        <v>17</v>
      </c>
      <c r="AK39" s="5">
        <f t="shared" si="0"/>
        <v>21.833333333333332</v>
      </c>
      <c r="AL39" s="5">
        <f t="shared" si="1"/>
        <v>60.5</v>
      </c>
      <c r="AM39" s="5">
        <f t="shared" si="2"/>
        <v>84.333333333333329</v>
      </c>
      <c r="AO39" s="5">
        <f t="shared" si="5"/>
        <v>27.166666666666664</v>
      </c>
      <c r="AP39" s="5">
        <f t="shared" si="3"/>
        <v>59.952380952380956</v>
      </c>
      <c r="AQ39" s="5">
        <f t="shared" si="4"/>
        <v>86.11904761904762</v>
      </c>
      <c r="AT39">
        <v>21.833333333333332</v>
      </c>
      <c r="AU39">
        <v>60.5</v>
      </c>
      <c r="AV39">
        <v>84.333333333333329</v>
      </c>
      <c r="AW39">
        <v>27.166666666666664</v>
      </c>
      <c r="AX39">
        <v>59.952380952380956</v>
      </c>
      <c r="AY39">
        <v>86.11904761904762</v>
      </c>
    </row>
    <row r="40" spans="1:51" x14ac:dyDescent="0.45">
      <c r="A40" s="3">
        <v>17.2</v>
      </c>
      <c r="B40" s="3">
        <v>36</v>
      </c>
      <c r="C40" s="3">
        <v>57</v>
      </c>
      <c r="D40" s="3">
        <v>74</v>
      </c>
      <c r="F40" s="3">
        <v>17.2</v>
      </c>
      <c r="G40" s="3">
        <v>34</v>
      </c>
      <c r="H40" s="3">
        <v>50</v>
      </c>
      <c r="I40" s="3">
        <v>85</v>
      </c>
      <c r="K40" s="3">
        <v>17.2</v>
      </c>
      <c r="L40" s="3">
        <v>31</v>
      </c>
      <c r="M40" s="3">
        <v>58</v>
      </c>
      <c r="N40" s="3">
        <v>79</v>
      </c>
      <c r="P40" s="3">
        <v>17.2</v>
      </c>
      <c r="Q40" s="3">
        <v>32</v>
      </c>
      <c r="R40" s="3">
        <v>59</v>
      </c>
      <c r="S40" s="3">
        <v>97</v>
      </c>
      <c r="U40" s="3">
        <v>17.2</v>
      </c>
      <c r="V40" s="3">
        <v>19</v>
      </c>
      <c r="W40" s="3">
        <v>61</v>
      </c>
      <c r="X40" s="3">
        <v>87</v>
      </c>
      <c r="Z40" s="3">
        <v>17.2</v>
      </c>
      <c r="AA40" s="3">
        <v>27</v>
      </c>
      <c r="AB40" s="3">
        <v>64</v>
      </c>
      <c r="AC40" s="3">
        <v>85</v>
      </c>
      <c r="AE40" s="3">
        <v>17.2</v>
      </c>
      <c r="AF40" s="3">
        <v>147</v>
      </c>
      <c r="AG40" s="3">
        <v>363</v>
      </c>
      <c r="AH40" s="3">
        <v>493</v>
      </c>
      <c r="AJ40" s="3">
        <v>17.2</v>
      </c>
      <c r="AK40" s="5">
        <f t="shared" si="0"/>
        <v>29.833333333333332</v>
      </c>
      <c r="AL40" s="5">
        <f t="shared" si="1"/>
        <v>58.166666666666664</v>
      </c>
      <c r="AM40" s="5">
        <f t="shared" si="2"/>
        <v>84.5</v>
      </c>
      <c r="AO40" s="5">
        <f t="shared" si="5"/>
        <v>29.071428571428573</v>
      </c>
      <c r="AP40" s="5">
        <f t="shared" si="3"/>
        <v>61.119047619047613</v>
      </c>
      <c r="AQ40" s="5">
        <f t="shared" si="4"/>
        <v>87.261904761904773</v>
      </c>
      <c r="AT40">
        <v>29.833333333333332</v>
      </c>
      <c r="AU40">
        <v>58.166666666666664</v>
      </c>
      <c r="AV40">
        <v>84.5</v>
      </c>
      <c r="AW40">
        <v>29.071428571428573</v>
      </c>
      <c r="AX40">
        <v>61.119047619047613</v>
      </c>
      <c r="AY40">
        <v>87.261904761904773</v>
      </c>
    </row>
    <row r="41" spans="1:51" x14ac:dyDescent="0.45">
      <c r="A41" s="3">
        <v>17.399999999999999</v>
      </c>
      <c r="B41" s="3">
        <v>30</v>
      </c>
      <c r="C41" s="3">
        <v>60</v>
      </c>
      <c r="D41" s="3">
        <v>95</v>
      </c>
      <c r="F41" s="3">
        <v>17.399999999999999</v>
      </c>
      <c r="G41" s="3">
        <v>30</v>
      </c>
      <c r="H41" s="3">
        <v>61</v>
      </c>
      <c r="I41" s="3">
        <v>100</v>
      </c>
      <c r="K41" s="3">
        <v>17.399999999999999</v>
      </c>
      <c r="L41" s="3">
        <v>30</v>
      </c>
      <c r="M41" s="3">
        <v>69</v>
      </c>
      <c r="N41" s="3">
        <v>85</v>
      </c>
      <c r="P41" s="3">
        <v>17.399999999999999</v>
      </c>
      <c r="Q41" s="3">
        <v>44</v>
      </c>
      <c r="R41" s="3">
        <v>53</v>
      </c>
      <c r="S41" s="3">
        <v>84</v>
      </c>
      <c r="U41" s="3">
        <v>17.399999999999999</v>
      </c>
      <c r="V41" s="3">
        <v>37</v>
      </c>
      <c r="W41" s="3">
        <v>58</v>
      </c>
      <c r="X41" s="3">
        <v>95</v>
      </c>
      <c r="Z41" s="3">
        <v>17.399999999999999</v>
      </c>
      <c r="AA41" s="3">
        <v>38</v>
      </c>
      <c r="AB41" s="3">
        <v>60</v>
      </c>
      <c r="AC41" s="3">
        <v>109</v>
      </c>
      <c r="AE41" s="3">
        <v>17.399999999999999</v>
      </c>
      <c r="AF41" s="3">
        <v>178</v>
      </c>
      <c r="AG41" s="3">
        <v>328</v>
      </c>
      <c r="AH41" s="3">
        <v>521</v>
      </c>
      <c r="AJ41" s="3">
        <v>17.399999999999999</v>
      </c>
      <c r="AK41" s="5">
        <f t="shared" si="0"/>
        <v>34.833333333333336</v>
      </c>
      <c r="AL41" s="5">
        <f t="shared" si="1"/>
        <v>60.166666666666664</v>
      </c>
      <c r="AM41" s="5">
        <f t="shared" si="2"/>
        <v>94.666666666666671</v>
      </c>
      <c r="AO41" s="5">
        <f t="shared" si="5"/>
        <v>30.928571428571427</v>
      </c>
      <c r="AP41" s="5">
        <f t="shared" si="3"/>
        <v>62.666666666666664</v>
      </c>
      <c r="AQ41" s="5">
        <f t="shared" si="4"/>
        <v>88.238095238095227</v>
      </c>
      <c r="AT41">
        <v>34.833333333333336</v>
      </c>
      <c r="AU41">
        <v>60.166666666666664</v>
      </c>
      <c r="AV41">
        <v>94.666666666666671</v>
      </c>
      <c r="AW41">
        <v>30.928571428571427</v>
      </c>
      <c r="AX41">
        <v>62.666666666666664</v>
      </c>
      <c r="AY41">
        <v>88.238095238095227</v>
      </c>
    </row>
    <row r="42" spans="1:51" x14ac:dyDescent="0.45">
      <c r="A42" s="3">
        <v>17.600000000000001</v>
      </c>
      <c r="B42" s="3">
        <v>33</v>
      </c>
      <c r="C42" s="3">
        <v>62</v>
      </c>
      <c r="D42" s="3">
        <v>101</v>
      </c>
      <c r="F42" s="3">
        <v>17.600000000000001</v>
      </c>
      <c r="G42" s="3">
        <v>49</v>
      </c>
      <c r="H42" s="3">
        <v>62</v>
      </c>
      <c r="I42" s="3">
        <v>94</v>
      </c>
      <c r="K42" s="3">
        <v>17.600000000000001</v>
      </c>
      <c r="L42" s="3">
        <v>37</v>
      </c>
      <c r="M42" s="3">
        <v>64</v>
      </c>
      <c r="N42" s="3">
        <v>82</v>
      </c>
      <c r="P42" s="3">
        <v>17.600000000000001</v>
      </c>
      <c r="Q42" s="3">
        <v>23</v>
      </c>
      <c r="R42" s="3">
        <v>57</v>
      </c>
      <c r="S42" s="3">
        <v>98</v>
      </c>
      <c r="U42" s="3">
        <v>17.600000000000001</v>
      </c>
      <c r="V42" s="3">
        <v>33</v>
      </c>
      <c r="W42" s="3">
        <v>63</v>
      </c>
      <c r="X42" s="3">
        <v>90</v>
      </c>
      <c r="Z42" s="3">
        <v>17.600000000000001</v>
      </c>
      <c r="AA42" s="3">
        <v>34</v>
      </c>
      <c r="AB42" s="3">
        <v>81</v>
      </c>
      <c r="AC42" s="3">
        <v>107</v>
      </c>
      <c r="AE42" s="3">
        <v>17.600000000000001</v>
      </c>
      <c r="AF42" s="3">
        <v>163</v>
      </c>
      <c r="AG42" s="3">
        <v>344</v>
      </c>
      <c r="AH42" s="3">
        <v>456</v>
      </c>
      <c r="AJ42" s="3">
        <v>17.600000000000001</v>
      </c>
      <c r="AK42" s="5">
        <f t="shared" si="0"/>
        <v>34.833333333333336</v>
      </c>
      <c r="AL42" s="5">
        <f t="shared" si="1"/>
        <v>64.833333333333329</v>
      </c>
      <c r="AM42" s="5">
        <f t="shared" si="2"/>
        <v>95.333333333333329</v>
      </c>
      <c r="AO42" s="5">
        <f t="shared" si="5"/>
        <v>32.976190476190474</v>
      </c>
      <c r="AP42" s="5">
        <f t="shared" si="3"/>
        <v>64.214285714285708</v>
      </c>
      <c r="AQ42" s="5">
        <f t="shared" si="4"/>
        <v>90.833333333333329</v>
      </c>
      <c r="AT42">
        <v>34.833333333333336</v>
      </c>
      <c r="AU42">
        <v>64.833333333333329</v>
      </c>
      <c r="AV42">
        <v>95.333333333333329</v>
      </c>
      <c r="AW42">
        <v>32.976190476190474</v>
      </c>
      <c r="AX42">
        <v>64.214285714285708</v>
      </c>
      <c r="AY42">
        <v>90.833333333333329</v>
      </c>
    </row>
    <row r="43" spans="1:51" x14ac:dyDescent="0.45">
      <c r="A43" s="3">
        <v>17.7</v>
      </c>
      <c r="B43" s="3">
        <v>35</v>
      </c>
      <c r="C43" s="3">
        <v>65</v>
      </c>
      <c r="D43" s="3">
        <v>73</v>
      </c>
      <c r="F43" s="3">
        <v>17.7</v>
      </c>
      <c r="G43" s="3">
        <v>32</v>
      </c>
      <c r="H43" s="3">
        <v>68</v>
      </c>
      <c r="I43" s="3">
        <v>90</v>
      </c>
      <c r="K43" s="3">
        <v>17.7</v>
      </c>
      <c r="L43" s="3">
        <v>30</v>
      </c>
      <c r="M43" s="3">
        <v>60</v>
      </c>
      <c r="N43" s="3">
        <v>93</v>
      </c>
      <c r="P43" s="3">
        <v>17.7</v>
      </c>
      <c r="Q43" s="3">
        <v>36</v>
      </c>
      <c r="R43" s="3">
        <v>56</v>
      </c>
      <c r="S43" s="3">
        <v>86</v>
      </c>
      <c r="U43" s="3">
        <v>17.7</v>
      </c>
      <c r="V43" s="3">
        <v>32</v>
      </c>
      <c r="W43" s="3">
        <v>76</v>
      </c>
      <c r="X43" s="3">
        <v>90</v>
      </c>
      <c r="Z43" s="3">
        <v>17.7</v>
      </c>
      <c r="AA43" s="3">
        <v>37</v>
      </c>
      <c r="AB43" s="3">
        <v>83</v>
      </c>
      <c r="AC43" s="3">
        <v>113</v>
      </c>
      <c r="AE43" s="3">
        <v>17.7</v>
      </c>
      <c r="AF43" s="3">
        <v>214</v>
      </c>
      <c r="AG43" s="3">
        <v>353</v>
      </c>
      <c r="AH43" s="3">
        <v>484</v>
      </c>
      <c r="AJ43" s="3">
        <v>17.7</v>
      </c>
      <c r="AK43" s="5">
        <f t="shared" si="0"/>
        <v>33.666666666666664</v>
      </c>
      <c r="AL43" s="5">
        <f t="shared" si="1"/>
        <v>68</v>
      </c>
      <c r="AM43" s="5">
        <f t="shared" si="2"/>
        <v>90.833333333333329</v>
      </c>
      <c r="AO43" s="5">
        <f t="shared" si="5"/>
        <v>35.595238095238095</v>
      </c>
      <c r="AP43" s="5">
        <f t="shared" si="3"/>
        <v>65.666666666666657</v>
      </c>
      <c r="AQ43" s="5">
        <f t="shared" si="4"/>
        <v>93.476190476190482</v>
      </c>
      <c r="AT43">
        <v>33.666666666666664</v>
      </c>
      <c r="AU43">
        <v>68</v>
      </c>
      <c r="AV43">
        <v>90.833333333333329</v>
      </c>
      <c r="AW43">
        <v>35.595238095238095</v>
      </c>
      <c r="AX43">
        <v>65.666666666666657</v>
      </c>
      <c r="AY43">
        <v>93.476190476190482</v>
      </c>
    </row>
    <row r="44" spans="1:51" x14ac:dyDescent="0.45">
      <c r="A44" s="3">
        <v>18</v>
      </c>
      <c r="B44" s="3">
        <v>31</v>
      </c>
      <c r="C44" s="3">
        <v>66</v>
      </c>
      <c r="D44" s="3">
        <v>91</v>
      </c>
      <c r="F44" s="3">
        <v>18</v>
      </c>
      <c r="G44" s="3">
        <v>46</v>
      </c>
      <c r="H44" s="3">
        <v>72</v>
      </c>
      <c r="I44" s="3">
        <v>85</v>
      </c>
      <c r="K44" s="3">
        <v>18</v>
      </c>
      <c r="L44" s="3">
        <v>25</v>
      </c>
      <c r="M44" s="3">
        <v>62</v>
      </c>
      <c r="N44" s="3">
        <v>89</v>
      </c>
      <c r="P44" s="3">
        <v>18</v>
      </c>
      <c r="Q44" s="3">
        <v>50</v>
      </c>
      <c r="R44" s="3">
        <v>65</v>
      </c>
      <c r="S44" s="3">
        <v>91</v>
      </c>
      <c r="U44" s="3">
        <v>18</v>
      </c>
      <c r="V44" s="3">
        <v>37</v>
      </c>
      <c r="W44" s="3">
        <v>63</v>
      </c>
      <c r="X44" s="3">
        <v>94</v>
      </c>
      <c r="Z44" s="3">
        <v>18</v>
      </c>
      <c r="AA44" s="3">
        <v>35</v>
      </c>
      <c r="AB44" s="3">
        <v>74</v>
      </c>
      <c r="AC44" s="3">
        <v>91</v>
      </c>
      <c r="AE44" s="3">
        <v>18</v>
      </c>
      <c r="AF44" s="3">
        <v>212</v>
      </c>
      <c r="AG44" s="3">
        <v>340</v>
      </c>
      <c r="AH44" s="3">
        <v>564</v>
      </c>
      <c r="AJ44" s="3">
        <v>18</v>
      </c>
      <c r="AK44" s="5">
        <f t="shared" si="0"/>
        <v>37.333333333333336</v>
      </c>
      <c r="AL44" s="5">
        <f t="shared" si="1"/>
        <v>67</v>
      </c>
      <c r="AM44" s="5">
        <f t="shared" si="2"/>
        <v>90.166666666666671</v>
      </c>
      <c r="AO44" s="5">
        <f t="shared" si="5"/>
        <v>36.857142857142854</v>
      </c>
      <c r="AP44" s="5">
        <f t="shared" si="3"/>
        <v>67.904761904761898</v>
      </c>
      <c r="AQ44" s="5">
        <f t="shared" si="4"/>
        <v>95.809523809523824</v>
      </c>
      <c r="AT44">
        <v>37.333333333333336</v>
      </c>
      <c r="AU44">
        <v>67</v>
      </c>
      <c r="AV44">
        <v>90.166666666666671</v>
      </c>
      <c r="AW44">
        <v>36.857142857142854</v>
      </c>
      <c r="AX44">
        <v>67.904761904761898</v>
      </c>
      <c r="AY44">
        <v>95.809523809523824</v>
      </c>
    </row>
    <row r="45" spans="1:51" x14ac:dyDescent="0.45">
      <c r="A45" s="3">
        <v>18.2</v>
      </c>
      <c r="B45" s="3">
        <v>39</v>
      </c>
      <c r="C45" s="3">
        <v>67</v>
      </c>
      <c r="D45" s="3">
        <v>106</v>
      </c>
      <c r="F45" s="3">
        <v>18.2</v>
      </c>
      <c r="G45" s="3">
        <v>37</v>
      </c>
      <c r="H45" s="3">
        <v>68</v>
      </c>
      <c r="I45" s="3">
        <v>101</v>
      </c>
      <c r="K45" s="3">
        <v>18.2</v>
      </c>
      <c r="L45" s="3">
        <v>36</v>
      </c>
      <c r="M45" s="3">
        <v>62</v>
      </c>
      <c r="N45" s="3">
        <v>88</v>
      </c>
      <c r="P45" s="3">
        <v>18.2</v>
      </c>
      <c r="Q45" s="3">
        <v>36</v>
      </c>
      <c r="R45" s="3">
        <v>67</v>
      </c>
      <c r="S45" s="3">
        <v>92</v>
      </c>
      <c r="U45" s="3">
        <v>18.2</v>
      </c>
      <c r="V45" s="3">
        <v>35</v>
      </c>
      <c r="W45" s="3">
        <v>81</v>
      </c>
      <c r="X45" s="3">
        <v>86</v>
      </c>
      <c r="Z45" s="3">
        <v>18.2</v>
      </c>
      <c r="AA45" s="3">
        <v>48</v>
      </c>
      <c r="AB45" s="3">
        <v>80</v>
      </c>
      <c r="AC45" s="3">
        <v>103</v>
      </c>
      <c r="AE45" s="3">
        <v>18.2</v>
      </c>
      <c r="AF45" s="3">
        <v>188</v>
      </c>
      <c r="AG45" s="3">
        <v>367</v>
      </c>
      <c r="AH45" s="3">
        <v>515</v>
      </c>
      <c r="AJ45" s="3">
        <v>18.2</v>
      </c>
      <c r="AK45" s="5">
        <f t="shared" si="0"/>
        <v>38.5</v>
      </c>
      <c r="AL45" s="5">
        <f t="shared" si="1"/>
        <v>70.833333333333329</v>
      </c>
      <c r="AM45" s="5">
        <f t="shared" si="2"/>
        <v>96</v>
      </c>
      <c r="AO45" s="5">
        <f t="shared" si="5"/>
        <v>37.69047619047619</v>
      </c>
      <c r="AP45" s="5">
        <f t="shared" si="3"/>
        <v>69.523809523809518</v>
      </c>
      <c r="AQ45" s="5">
        <f t="shared" si="4"/>
        <v>97.166666666666657</v>
      </c>
      <c r="AT45">
        <v>38.5</v>
      </c>
      <c r="AU45">
        <v>70.833333333333329</v>
      </c>
      <c r="AV45">
        <v>96</v>
      </c>
      <c r="AW45">
        <v>37.69047619047619</v>
      </c>
      <c r="AX45">
        <v>69.523809523809518</v>
      </c>
      <c r="AY45">
        <v>97.166666666666657</v>
      </c>
    </row>
    <row r="46" spans="1:51" x14ac:dyDescent="0.45">
      <c r="A46" s="3">
        <v>18.399999999999999</v>
      </c>
      <c r="B46" s="3">
        <v>33</v>
      </c>
      <c r="C46" s="3">
        <v>69</v>
      </c>
      <c r="D46" s="3">
        <v>108</v>
      </c>
      <c r="F46" s="3">
        <v>18.399999999999999</v>
      </c>
      <c r="G46" s="3">
        <v>45</v>
      </c>
      <c r="H46" s="3">
        <v>79</v>
      </c>
      <c r="I46" s="3">
        <v>92</v>
      </c>
      <c r="K46" s="3">
        <v>18.399999999999999</v>
      </c>
      <c r="L46" s="3">
        <v>37</v>
      </c>
      <c r="M46" s="3">
        <v>65</v>
      </c>
      <c r="N46" s="3">
        <v>97</v>
      </c>
      <c r="P46" s="3">
        <v>18.399999999999999</v>
      </c>
      <c r="Q46" s="3">
        <v>39</v>
      </c>
      <c r="R46" s="3">
        <v>67</v>
      </c>
      <c r="S46" s="3">
        <v>114</v>
      </c>
      <c r="U46" s="3">
        <v>18.399999999999999</v>
      </c>
      <c r="V46" s="3">
        <v>40</v>
      </c>
      <c r="W46" s="3">
        <v>62</v>
      </c>
      <c r="X46" s="3">
        <v>99</v>
      </c>
      <c r="Z46" s="3">
        <v>18.399999999999999</v>
      </c>
      <c r="AA46" s="3">
        <v>47</v>
      </c>
      <c r="AB46" s="3">
        <v>82</v>
      </c>
      <c r="AC46" s="3">
        <v>107</v>
      </c>
      <c r="AE46" s="3">
        <v>18.399999999999999</v>
      </c>
      <c r="AF46" s="3">
        <v>223</v>
      </c>
      <c r="AG46" s="3">
        <v>340</v>
      </c>
      <c r="AH46" s="3">
        <v>571</v>
      </c>
      <c r="AJ46" s="3">
        <v>18.399999999999999</v>
      </c>
      <c r="AK46" s="5">
        <f t="shared" si="0"/>
        <v>40.166666666666664</v>
      </c>
      <c r="AL46" s="5">
        <f t="shared" si="1"/>
        <v>70.666666666666671</v>
      </c>
      <c r="AM46" s="5">
        <f t="shared" si="2"/>
        <v>102.83333333333333</v>
      </c>
      <c r="AO46" s="5">
        <f t="shared" si="5"/>
        <v>38.571428571428569</v>
      </c>
      <c r="AP46" s="5">
        <f t="shared" si="3"/>
        <v>70.857142857142861</v>
      </c>
      <c r="AQ46" s="5">
        <f t="shared" si="4"/>
        <v>98.928571428571416</v>
      </c>
      <c r="AT46">
        <v>40.166666666666664</v>
      </c>
      <c r="AU46">
        <v>70.666666666666671</v>
      </c>
      <c r="AV46">
        <v>102.83333333333333</v>
      </c>
      <c r="AW46">
        <v>38.571428571428569</v>
      </c>
      <c r="AX46">
        <v>70.857142857142861</v>
      </c>
      <c r="AY46">
        <v>98.928571428571416</v>
      </c>
    </row>
    <row r="47" spans="1:51" x14ac:dyDescent="0.45">
      <c r="A47" s="3">
        <v>18.600000000000001</v>
      </c>
      <c r="B47" s="3">
        <v>35</v>
      </c>
      <c r="C47" s="3">
        <v>66</v>
      </c>
      <c r="D47" s="3">
        <v>100</v>
      </c>
      <c r="F47" s="3">
        <v>18.600000000000001</v>
      </c>
      <c r="G47" s="3">
        <v>34</v>
      </c>
      <c r="H47" s="3">
        <v>74</v>
      </c>
      <c r="I47" s="3">
        <v>93</v>
      </c>
      <c r="K47" s="3">
        <v>18.600000000000001</v>
      </c>
      <c r="L47" s="3">
        <v>40</v>
      </c>
      <c r="M47" s="3">
        <v>90</v>
      </c>
      <c r="N47" s="3">
        <v>101</v>
      </c>
      <c r="P47" s="3">
        <v>18.600000000000001</v>
      </c>
      <c r="Q47" s="3">
        <v>40</v>
      </c>
      <c r="R47" s="3">
        <v>72</v>
      </c>
      <c r="S47" s="3">
        <v>108</v>
      </c>
      <c r="U47" s="3">
        <v>18.600000000000001</v>
      </c>
      <c r="V47" s="3">
        <v>34</v>
      </c>
      <c r="W47" s="3">
        <v>69</v>
      </c>
      <c r="X47" s="3">
        <v>101</v>
      </c>
      <c r="Z47" s="3">
        <v>18.600000000000001</v>
      </c>
      <c r="AA47" s="3">
        <v>49</v>
      </c>
      <c r="AB47" s="3">
        <v>72</v>
      </c>
      <c r="AC47" s="3">
        <v>102</v>
      </c>
      <c r="AE47" s="3">
        <v>18.600000000000001</v>
      </c>
      <c r="AF47" s="3">
        <v>187</v>
      </c>
      <c r="AG47" s="3">
        <v>403</v>
      </c>
      <c r="AH47" s="3">
        <v>534</v>
      </c>
      <c r="AJ47" s="3">
        <v>18.600000000000001</v>
      </c>
      <c r="AK47" s="5">
        <f t="shared" si="0"/>
        <v>38.666666666666664</v>
      </c>
      <c r="AL47" s="5">
        <f t="shared" si="1"/>
        <v>73.833333333333329</v>
      </c>
      <c r="AM47" s="5">
        <f t="shared" si="2"/>
        <v>100.83333333333333</v>
      </c>
      <c r="AO47" s="5">
        <f t="shared" si="5"/>
        <v>40.309523809523803</v>
      </c>
      <c r="AP47" s="5">
        <f t="shared" si="3"/>
        <v>72.976190476190467</v>
      </c>
      <c r="AQ47" s="5">
        <f t="shared" si="4"/>
        <v>100.73809523809523</v>
      </c>
      <c r="AT47">
        <v>38.666666666666664</v>
      </c>
      <c r="AU47">
        <v>73.833333333333329</v>
      </c>
      <c r="AV47">
        <v>100.83333333333333</v>
      </c>
      <c r="AW47">
        <v>40.309523809523803</v>
      </c>
      <c r="AX47">
        <v>72.976190476190467</v>
      </c>
      <c r="AY47">
        <v>100.73809523809523</v>
      </c>
    </row>
    <row r="48" spans="1:51" x14ac:dyDescent="0.45">
      <c r="A48" s="3">
        <v>18.7</v>
      </c>
      <c r="B48" s="3">
        <v>56</v>
      </c>
      <c r="C48" s="3">
        <v>60</v>
      </c>
      <c r="D48" s="3">
        <v>94</v>
      </c>
      <c r="F48" s="3">
        <v>18.7</v>
      </c>
      <c r="G48" s="3">
        <v>33</v>
      </c>
      <c r="H48" s="3">
        <v>76</v>
      </c>
      <c r="I48" s="3">
        <v>111</v>
      </c>
      <c r="K48" s="3">
        <v>18.7</v>
      </c>
      <c r="L48" s="3">
        <v>49</v>
      </c>
      <c r="M48" s="3">
        <v>67</v>
      </c>
      <c r="N48" s="3">
        <v>111</v>
      </c>
      <c r="P48" s="3">
        <v>18.7</v>
      </c>
      <c r="Q48" s="3">
        <v>37</v>
      </c>
      <c r="R48" s="3">
        <v>81</v>
      </c>
      <c r="S48" s="3">
        <v>87</v>
      </c>
      <c r="U48" s="3">
        <v>18.7</v>
      </c>
      <c r="V48" s="3">
        <v>40</v>
      </c>
      <c r="W48" s="3">
        <v>67</v>
      </c>
      <c r="X48" s="3">
        <v>119</v>
      </c>
      <c r="Z48" s="3">
        <v>18.7</v>
      </c>
      <c r="AA48" s="3">
        <v>29</v>
      </c>
      <c r="AB48" s="3">
        <v>78</v>
      </c>
      <c r="AC48" s="3">
        <v>103</v>
      </c>
      <c r="AE48" s="3">
        <v>18.7</v>
      </c>
      <c r="AF48" s="3">
        <v>253</v>
      </c>
      <c r="AG48" s="3">
        <v>428</v>
      </c>
      <c r="AH48" s="3">
        <v>540</v>
      </c>
      <c r="AJ48" s="3">
        <v>18.7</v>
      </c>
      <c r="AK48" s="5">
        <f t="shared" si="0"/>
        <v>40.666666666666664</v>
      </c>
      <c r="AL48" s="5">
        <f t="shared" si="1"/>
        <v>71.5</v>
      </c>
      <c r="AM48" s="5">
        <f t="shared" si="2"/>
        <v>104.16666666666667</v>
      </c>
      <c r="AO48" s="5">
        <f t="shared" si="5"/>
        <v>41.69047619047619</v>
      </c>
      <c r="AP48" s="5">
        <f t="shared" si="3"/>
        <v>74.190476190476176</v>
      </c>
      <c r="AQ48" s="5">
        <f t="shared" si="4"/>
        <v>103.59523809523809</v>
      </c>
      <c r="AT48">
        <v>40.666666666666664</v>
      </c>
      <c r="AU48">
        <v>71.5</v>
      </c>
      <c r="AV48">
        <v>104.16666666666667</v>
      </c>
      <c r="AW48">
        <v>41.69047619047619</v>
      </c>
      <c r="AX48">
        <v>74.190476190476176</v>
      </c>
      <c r="AY48">
        <v>103.59523809523809</v>
      </c>
    </row>
    <row r="49" spans="1:51" x14ac:dyDescent="0.45">
      <c r="A49" s="3">
        <v>19</v>
      </c>
      <c r="B49" s="3">
        <v>40</v>
      </c>
      <c r="C49" s="3">
        <v>77</v>
      </c>
      <c r="D49" s="3">
        <v>104</v>
      </c>
      <c r="F49" s="3">
        <v>19</v>
      </c>
      <c r="G49" s="3">
        <v>41</v>
      </c>
      <c r="H49" s="3">
        <v>82</v>
      </c>
      <c r="I49" s="3">
        <v>113</v>
      </c>
      <c r="K49" s="3">
        <v>19</v>
      </c>
      <c r="L49" s="3">
        <v>33</v>
      </c>
      <c r="M49" s="3">
        <v>71</v>
      </c>
      <c r="N49" s="3">
        <v>97</v>
      </c>
      <c r="P49" s="3">
        <v>19</v>
      </c>
      <c r="Q49" s="3">
        <v>38</v>
      </c>
      <c r="R49" s="3">
        <v>69</v>
      </c>
      <c r="S49" s="3">
        <v>102</v>
      </c>
      <c r="U49" s="3">
        <v>19</v>
      </c>
      <c r="V49" s="3">
        <v>43</v>
      </c>
      <c r="W49" s="3">
        <v>75</v>
      </c>
      <c r="X49" s="3">
        <v>115</v>
      </c>
      <c r="Z49" s="3">
        <v>19</v>
      </c>
      <c r="AA49" s="3">
        <v>51</v>
      </c>
      <c r="AB49" s="3">
        <v>71</v>
      </c>
      <c r="AC49" s="3">
        <v>115</v>
      </c>
      <c r="AE49" s="3">
        <v>19</v>
      </c>
      <c r="AF49" s="3">
        <v>216</v>
      </c>
      <c r="AG49" s="3">
        <v>409</v>
      </c>
      <c r="AH49" s="3">
        <v>566</v>
      </c>
      <c r="AJ49" s="3">
        <v>19</v>
      </c>
      <c r="AK49" s="5">
        <f t="shared" si="0"/>
        <v>41</v>
      </c>
      <c r="AL49" s="5">
        <f t="shared" si="1"/>
        <v>74.166666666666671</v>
      </c>
      <c r="AM49" s="5">
        <f t="shared" si="2"/>
        <v>107.66666666666667</v>
      </c>
      <c r="AO49" s="5">
        <f t="shared" si="5"/>
        <v>42.833333333333336</v>
      </c>
      <c r="AP49" s="5">
        <f t="shared" si="3"/>
        <v>76.69047619047619</v>
      </c>
      <c r="AQ49" s="5">
        <f t="shared" si="4"/>
        <v>104.54761904761904</v>
      </c>
      <c r="AT49">
        <v>41</v>
      </c>
      <c r="AU49">
        <v>74.166666666666671</v>
      </c>
      <c r="AV49">
        <v>107.66666666666667</v>
      </c>
      <c r="AW49">
        <v>42.833333333333336</v>
      </c>
      <c r="AX49">
        <v>76.69047619047619</v>
      </c>
      <c r="AY49">
        <v>104.54761904761904</v>
      </c>
    </row>
    <row r="50" spans="1:51" x14ac:dyDescent="0.45">
      <c r="A50" s="3">
        <v>19.2</v>
      </c>
      <c r="B50" s="3">
        <v>47</v>
      </c>
      <c r="C50" s="3">
        <v>90</v>
      </c>
      <c r="D50" s="3">
        <v>97</v>
      </c>
      <c r="F50" s="3">
        <v>19.2</v>
      </c>
      <c r="G50" s="3">
        <v>60</v>
      </c>
      <c r="H50" s="3">
        <v>77</v>
      </c>
      <c r="I50" s="3">
        <v>100</v>
      </c>
      <c r="K50" s="3">
        <v>19.2</v>
      </c>
      <c r="L50" s="3">
        <v>36</v>
      </c>
      <c r="M50" s="3">
        <v>94</v>
      </c>
      <c r="N50" s="3">
        <v>100</v>
      </c>
      <c r="P50" s="3">
        <v>19.2</v>
      </c>
      <c r="Q50" s="3">
        <v>44</v>
      </c>
      <c r="R50" s="3">
        <v>87</v>
      </c>
      <c r="S50" s="3">
        <v>100</v>
      </c>
      <c r="U50" s="3">
        <v>19.2</v>
      </c>
      <c r="V50" s="3">
        <v>36</v>
      </c>
      <c r="W50" s="3">
        <v>72</v>
      </c>
      <c r="X50" s="3">
        <v>121</v>
      </c>
      <c r="Z50" s="3">
        <v>19.2</v>
      </c>
      <c r="AA50" s="3">
        <v>52</v>
      </c>
      <c r="AB50" s="3">
        <v>77</v>
      </c>
      <c r="AC50" s="3">
        <v>103</v>
      </c>
      <c r="AE50" s="3">
        <v>19.2</v>
      </c>
      <c r="AF50" s="3">
        <v>271</v>
      </c>
      <c r="AG50" s="3">
        <v>398</v>
      </c>
      <c r="AH50" s="3">
        <v>568</v>
      </c>
      <c r="AJ50" s="3">
        <v>19.2</v>
      </c>
      <c r="AK50" s="5">
        <f t="shared" si="0"/>
        <v>45.833333333333336</v>
      </c>
      <c r="AL50" s="5">
        <f t="shared" si="1"/>
        <v>82.833333333333329</v>
      </c>
      <c r="AM50" s="5">
        <f t="shared" si="2"/>
        <v>103.5</v>
      </c>
      <c r="AO50" s="5">
        <f t="shared" si="5"/>
        <v>43.095238095238088</v>
      </c>
      <c r="AP50" s="5">
        <f t="shared" si="3"/>
        <v>77.238095238095227</v>
      </c>
      <c r="AQ50" s="5">
        <f t="shared" si="4"/>
        <v>104.85714285714286</v>
      </c>
      <c r="AT50">
        <v>45.833333333333336</v>
      </c>
      <c r="AU50">
        <v>82.833333333333329</v>
      </c>
      <c r="AV50">
        <v>103.5</v>
      </c>
      <c r="AW50">
        <v>43.095238095238088</v>
      </c>
      <c r="AX50">
        <v>77.238095238095227</v>
      </c>
      <c r="AY50">
        <v>104.85714285714286</v>
      </c>
    </row>
    <row r="51" spans="1:51" x14ac:dyDescent="0.45">
      <c r="A51" s="3">
        <v>19.399999999999999</v>
      </c>
      <c r="B51" s="3">
        <v>38</v>
      </c>
      <c r="C51" s="3">
        <v>69</v>
      </c>
      <c r="D51" s="3">
        <v>118</v>
      </c>
      <c r="F51" s="3">
        <v>19.399999999999999</v>
      </c>
      <c r="G51" s="3">
        <v>52</v>
      </c>
      <c r="H51" s="3">
        <v>69</v>
      </c>
      <c r="I51" s="3">
        <v>100</v>
      </c>
      <c r="K51" s="3">
        <v>19.399999999999999</v>
      </c>
      <c r="L51" s="3">
        <v>42</v>
      </c>
      <c r="M51" s="3">
        <v>89</v>
      </c>
      <c r="N51" s="3">
        <v>109</v>
      </c>
      <c r="P51" s="3">
        <v>19.399999999999999</v>
      </c>
      <c r="Q51" s="3">
        <v>50</v>
      </c>
      <c r="R51" s="3">
        <v>78</v>
      </c>
      <c r="S51" s="3">
        <v>100</v>
      </c>
      <c r="U51" s="3">
        <v>19.399999999999999</v>
      </c>
      <c r="V51" s="3">
        <v>48</v>
      </c>
      <c r="W51" s="3">
        <v>74</v>
      </c>
      <c r="X51" s="3">
        <v>112</v>
      </c>
      <c r="Z51" s="3">
        <v>19.399999999999999</v>
      </c>
      <c r="AA51" s="3">
        <v>52</v>
      </c>
      <c r="AB51" s="3">
        <v>74</v>
      </c>
      <c r="AC51" s="3">
        <v>122</v>
      </c>
      <c r="AE51" s="3">
        <v>19.399999999999999</v>
      </c>
      <c r="AF51" s="3">
        <v>253</v>
      </c>
      <c r="AG51" s="3">
        <v>394</v>
      </c>
      <c r="AH51" s="3">
        <v>583</v>
      </c>
      <c r="AJ51" s="3">
        <v>19.399999999999999</v>
      </c>
      <c r="AK51" s="5">
        <f t="shared" si="0"/>
        <v>47</v>
      </c>
      <c r="AL51" s="5">
        <f t="shared" si="1"/>
        <v>75.5</v>
      </c>
      <c r="AM51" s="5">
        <f t="shared" si="2"/>
        <v>110.16666666666667</v>
      </c>
      <c r="AO51" s="5">
        <f t="shared" si="5"/>
        <v>45.547619047619044</v>
      </c>
      <c r="AP51" s="5">
        <f t="shared" si="3"/>
        <v>77.928571428571431</v>
      </c>
      <c r="AQ51" s="5">
        <f t="shared" si="4"/>
        <v>107.11904761904762</v>
      </c>
      <c r="AT51">
        <v>47</v>
      </c>
      <c r="AU51">
        <v>75.5</v>
      </c>
      <c r="AV51">
        <v>110.16666666666667</v>
      </c>
      <c r="AW51">
        <v>45.547619047619044</v>
      </c>
      <c r="AX51">
        <v>77.928571428571431</v>
      </c>
      <c r="AY51">
        <v>107.11904761904762</v>
      </c>
    </row>
    <row r="52" spans="1:51" x14ac:dyDescent="0.45">
      <c r="A52" s="3">
        <v>19.600000000000001</v>
      </c>
      <c r="B52" s="3">
        <v>50</v>
      </c>
      <c r="C52" s="3">
        <v>91</v>
      </c>
      <c r="D52" s="3">
        <v>128</v>
      </c>
      <c r="F52" s="3">
        <v>19.600000000000001</v>
      </c>
      <c r="G52" s="3">
        <v>46</v>
      </c>
      <c r="H52" s="3">
        <v>79</v>
      </c>
      <c r="I52" s="3">
        <v>110</v>
      </c>
      <c r="K52" s="3">
        <v>19.600000000000001</v>
      </c>
      <c r="L52" s="3">
        <v>40</v>
      </c>
      <c r="M52" s="3">
        <v>92</v>
      </c>
      <c r="N52" s="3">
        <v>96</v>
      </c>
      <c r="P52" s="3">
        <v>19.600000000000001</v>
      </c>
      <c r="Q52" s="3">
        <v>44</v>
      </c>
      <c r="R52" s="3">
        <v>106</v>
      </c>
      <c r="S52" s="3">
        <v>87</v>
      </c>
      <c r="U52" s="3">
        <v>19.600000000000001</v>
      </c>
      <c r="V52" s="3">
        <v>51</v>
      </c>
      <c r="W52" s="3">
        <v>70</v>
      </c>
      <c r="X52" s="3">
        <v>103</v>
      </c>
      <c r="Z52" s="3">
        <v>19.600000000000001</v>
      </c>
      <c r="AA52" s="3">
        <v>48</v>
      </c>
      <c r="AB52" s="3">
        <v>92</v>
      </c>
      <c r="AC52" s="3">
        <v>92</v>
      </c>
      <c r="AE52" s="3">
        <v>19.600000000000001</v>
      </c>
      <c r="AF52" s="3">
        <v>267</v>
      </c>
      <c r="AG52" s="3">
        <v>403</v>
      </c>
      <c r="AH52" s="3">
        <v>572</v>
      </c>
      <c r="AJ52" s="3">
        <v>19.600000000000001</v>
      </c>
      <c r="AK52" s="5">
        <f t="shared" si="0"/>
        <v>46.5</v>
      </c>
      <c r="AL52" s="5">
        <f t="shared" si="1"/>
        <v>88.333333333333329</v>
      </c>
      <c r="AM52" s="5">
        <f t="shared" si="2"/>
        <v>102.66666666666667</v>
      </c>
      <c r="AO52" s="5">
        <f t="shared" si="5"/>
        <v>45.880952380952387</v>
      </c>
      <c r="AP52" s="5">
        <f t="shared" si="3"/>
        <v>78.928571428571431</v>
      </c>
      <c r="AQ52" s="5">
        <f t="shared" si="4"/>
        <v>107.88095238095238</v>
      </c>
      <c r="AT52">
        <v>46.5</v>
      </c>
      <c r="AU52">
        <v>88.333333333333329</v>
      </c>
      <c r="AV52">
        <v>102.66666666666667</v>
      </c>
      <c r="AW52">
        <v>45.880952380952387</v>
      </c>
      <c r="AX52">
        <v>78.928571428571431</v>
      </c>
      <c r="AY52">
        <v>107.88095238095238</v>
      </c>
    </row>
    <row r="53" spans="1:51" x14ac:dyDescent="0.45">
      <c r="A53" s="3">
        <v>19.7</v>
      </c>
      <c r="B53" s="3">
        <v>42</v>
      </c>
      <c r="C53" s="3">
        <v>77</v>
      </c>
      <c r="D53" s="3">
        <v>92</v>
      </c>
      <c r="F53" s="3">
        <v>19.7</v>
      </c>
      <c r="G53" s="3">
        <v>47</v>
      </c>
      <c r="H53" s="3">
        <v>76</v>
      </c>
      <c r="I53" s="3">
        <v>115</v>
      </c>
      <c r="K53" s="3">
        <v>19.7</v>
      </c>
      <c r="L53" s="3">
        <v>56</v>
      </c>
      <c r="M53" s="3">
        <v>76</v>
      </c>
      <c r="N53" s="3">
        <v>105</v>
      </c>
      <c r="P53" s="3">
        <v>19.7</v>
      </c>
      <c r="Q53" s="3">
        <v>36</v>
      </c>
      <c r="R53" s="3">
        <v>90</v>
      </c>
      <c r="S53" s="3">
        <v>107</v>
      </c>
      <c r="U53" s="3">
        <v>19.7</v>
      </c>
      <c r="V53" s="3">
        <v>42</v>
      </c>
      <c r="W53" s="3">
        <v>57</v>
      </c>
      <c r="X53" s="3">
        <v>92</v>
      </c>
      <c r="Z53" s="3">
        <v>19.7</v>
      </c>
      <c r="AA53" s="3">
        <v>29</v>
      </c>
      <c r="AB53" s="3">
        <v>71</v>
      </c>
      <c r="AC53" s="3">
        <v>119</v>
      </c>
      <c r="AE53" s="3">
        <v>19.7</v>
      </c>
      <c r="AF53" s="3">
        <v>263</v>
      </c>
      <c r="AG53" s="3">
        <v>437</v>
      </c>
      <c r="AH53" s="3">
        <v>596</v>
      </c>
      <c r="AJ53" s="3">
        <v>19.7</v>
      </c>
      <c r="AK53" s="5">
        <f t="shared" si="0"/>
        <v>42</v>
      </c>
      <c r="AL53" s="5">
        <f t="shared" si="1"/>
        <v>74.5</v>
      </c>
      <c r="AM53" s="5">
        <f t="shared" si="2"/>
        <v>105</v>
      </c>
      <c r="AO53" s="5">
        <f t="shared" si="5"/>
        <v>47.333333333333336</v>
      </c>
      <c r="AP53" s="5">
        <f t="shared" si="3"/>
        <v>81.023809523809518</v>
      </c>
      <c r="AQ53" s="5">
        <f t="shared" si="4"/>
        <v>108.23809523809523</v>
      </c>
      <c r="AT53">
        <v>42</v>
      </c>
      <c r="AU53">
        <v>74.5</v>
      </c>
      <c r="AV53">
        <v>105</v>
      </c>
      <c r="AW53">
        <v>47.333333333333336</v>
      </c>
      <c r="AX53">
        <v>81.023809523809518</v>
      </c>
      <c r="AY53">
        <v>108.23809523809523</v>
      </c>
    </row>
    <row r="54" spans="1:51" x14ac:dyDescent="0.45">
      <c r="A54" s="3">
        <v>20</v>
      </c>
      <c r="B54" s="3">
        <v>69</v>
      </c>
      <c r="C54" s="3">
        <v>71</v>
      </c>
      <c r="D54" s="3">
        <v>107</v>
      </c>
      <c r="F54" s="3">
        <v>20</v>
      </c>
      <c r="G54" s="3">
        <v>54</v>
      </c>
      <c r="H54" s="3">
        <v>79</v>
      </c>
      <c r="I54" s="3">
        <v>105</v>
      </c>
      <c r="K54" s="3">
        <v>20</v>
      </c>
      <c r="L54" s="3">
        <v>40</v>
      </c>
      <c r="M54" s="3">
        <v>71</v>
      </c>
      <c r="N54" s="3">
        <v>109</v>
      </c>
      <c r="P54" s="3">
        <v>20</v>
      </c>
      <c r="Q54" s="3">
        <v>54</v>
      </c>
      <c r="R54" s="3">
        <v>85</v>
      </c>
      <c r="S54" s="3">
        <v>130</v>
      </c>
      <c r="U54" s="3">
        <v>20</v>
      </c>
      <c r="V54" s="3">
        <v>45</v>
      </c>
      <c r="W54" s="3">
        <v>81</v>
      </c>
      <c r="X54" s="3">
        <v>128</v>
      </c>
      <c r="Z54" s="3">
        <v>20</v>
      </c>
      <c r="AA54" s="3">
        <v>73</v>
      </c>
      <c r="AB54" s="3">
        <v>85</v>
      </c>
      <c r="AC54" s="3">
        <v>121</v>
      </c>
      <c r="AE54" s="3">
        <v>20</v>
      </c>
      <c r="AF54" s="3">
        <v>267</v>
      </c>
      <c r="AG54" s="3">
        <v>450</v>
      </c>
      <c r="AH54" s="3">
        <v>608</v>
      </c>
      <c r="AJ54" s="3">
        <v>20</v>
      </c>
      <c r="AK54" s="5">
        <f t="shared" si="0"/>
        <v>55.833333333333336</v>
      </c>
      <c r="AL54" s="5">
        <f t="shared" si="1"/>
        <v>78.666666666666671</v>
      </c>
      <c r="AM54" s="5">
        <f t="shared" si="2"/>
        <v>116.66666666666667</v>
      </c>
      <c r="AO54" s="5">
        <f t="shared" si="5"/>
        <v>48.80952380952381</v>
      </c>
      <c r="AP54" s="5">
        <f t="shared" si="3"/>
        <v>80.88095238095238</v>
      </c>
      <c r="AQ54" s="5">
        <f t="shared" si="4"/>
        <v>109.92857142857143</v>
      </c>
      <c r="AT54">
        <v>55.833333333333336</v>
      </c>
      <c r="AU54">
        <v>78.666666666666671</v>
      </c>
      <c r="AV54">
        <v>116.66666666666667</v>
      </c>
      <c r="AW54">
        <v>48.80952380952381</v>
      </c>
      <c r="AX54">
        <v>80.88095238095238</v>
      </c>
      <c r="AY54">
        <v>109.92857142857143</v>
      </c>
    </row>
    <row r="55" spans="1:51" x14ac:dyDescent="0.45">
      <c r="A55" s="3">
        <v>20.2</v>
      </c>
      <c r="B55" s="3">
        <v>43</v>
      </c>
      <c r="C55" s="3">
        <v>83</v>
      </c>
      <c r="D55" s="3">
        <v>105</v>
      </c>
      <c r="F55" s="3">
        <v>20.2</v>
      </c>
      <c r="G55" s="3">
        <v>45</v>
      </c>
      <c r="H55" s="3">
        <v>76</v>
      </c>
      <c r="I55" s="3">
        <v>126</v>
      </c>
      <c r="K55" s="3">
        <v>20.2</v>
      </c>
      <c r="L55" s="3">
        <v>53</v>
      </c>
      <c r="M55" s="3">
        <v>75</v>
      </c>
      <c r="N55" s="3">
        <v>116</v>
      </c>
      <c r="P55" s="3">
        <v>20.2</v>
      </c>
      <c r="Q55" s="3">
        <v>40</v>
      </c>
      <c r="R55" s="3">
        <v>77</v>
      </c>
      <c r="S55" s="3">
        <v>103</v>
      </c>
      <c r="U55" s="3">
        <v>20.2</v>
      </c>
      <c r="V55" s="3">
        <v>32</v>
      </c>
      <c r="W55" s="3">
        <v>77</v>
      </c>
      <c r="X55" s="3">
        <v>92</v>
      </c>
      <c r="Z55" s="3">
        <v>20.2</v>
      </c>
      <c r="AA55" s="3">
        <v>45</v>
      </c>
      <c r="AB55" s="3">
        <v>83</v>
      </c>
      <c r="AC55" s="3">
        <v>115</v>
      </c>
      <c r="AE55" s="3">
        <v>20.2</v>
      </c>
      <c r="AF55" s="3">
        <v>297</v>
      </c>
      <c r="AG55" s="3">
        <v>414</v>
      </c>
      <c r="AH55" s="3">
        <v>602</v>
      </c>
      <c r="AJ55" s="3">
        <v>20.2</v>
      </c>
      <c r="AK55" s="5">
        <f t="shared" si="0"/>
        <v>43</v>
      </c>
      <c r="AL55" s="5">
        <f t="shared" si="1"/>
        <v>78.5</v>
      </c>
      <c r="AM55" s="5">
        <f t="shared" si="2"/>
        <v>109.5</v>
      </c>
      <c r="AO55" s="5">
        <f t="shared" si="5"/>
        <v>50.119047619047628</v>
      </c>
      <c r="AP55" s="5">
        <f t="shared" si="3"/>
        <v>82.80952380952381</v>
      </c>
      <c r="AQ55" s="5">
        <f t="shared" si="4"/>
        <v>112.35714285714286</v>
      </c>
      <c r="AT55">
        <v>43</v>
      </c>
      <c r="AU55">
        <v>78.5</v>
      </c>
      <c r="AV55">
        <v>109.5</v>
      </c>
      <c r="AW55">
        <v>50.119047619047628</v>
      </c>
      <c r="AX55">
        <v>82.80952380952381</v>
      </c>
      <c r="AY55">
        <v>112.35714285714286</v>
      </c>
    </row>
    <row r="56" spans="1:51" x14ac:dyDescent="0.45">
      <c r="A56" s="3">
        <v>20.399999999999999</v>
      </c>
      <c r="B56" s="3">
        <v>48</v>
      </c>
      <c r="C56" s="3">
        <v>77</v>
      </c>
      <c r="D56" s="3">
        <v>116</v>
      </c>
      <c r="F56" s="3">
        <v>20.399999999999999</v>
      </c>
      <c r="G56" s="3">
        <v>39</v>
      </c>
      <c r="H56" s="3">
        <v>76</v>
      </c>
      <c r="I56" s="3">
        <v>98</v>
      </c>
      <c r="K56" s="3">
        <v>20.399999999999999</v>
      </c>
      <c r="L56" s="3">
        <v>60</v>
      </c>
      <c r="M56" s="3">
        <v>99</v>
      </c>
      <c r="N56" s="3">
        <v>115</v>
      </c>
      <c r="P56" s="3">
        <v>20.399999999999999</v>
      </c>
      <c r="Q56" s="3">
        <v>55</v>
      </c>
      <c r="R56" s="3">
        <v>93</v>
      </c>
      <c r="S56" s="3">
        <v>110</v>
      </c>
      <c r="U56" s="3">
        <v>20.399999999999999</v>
      </c>
      <c r="V56" s="3">
        <v>50</v>
      </c>
      <c r="W56" s="3">
        <v>91</v>
      </c>
      <c r="X56" s="3">
        <v>125</v>
      </c>
      <c r="Z56" s="3">
        <v>20.399999999999999</v>
      </c>
      <c r="AA56" s="3">
        <v>55</v>
      </c>
      <c r="AB56" s="3">
        <v>97</v>
      </c>
      <c r="AC56" s="3">
        <v>97</v>
      </c>
      <c r="AE56" s="3">
        <v>20.399999999999999</v>
      </c>
      <c r="AF56" s="3">
        <v>309</v>
      </c>
      <c r="AG56" s="3">
        <v>431</v>
      </c>
      <c r="AH56" s="3">
        <v>577</v>
      </c>
      <c r="AJ56" s="3">
        <v>20.399999999999999</v>
      </c>
      <c r="AK56" s="5">
        <f t="shared" si="0"/>
        <v>51.166666666666664</v>
      </c>
      <c r="AL56" s="5">
        <f t="shared" si="1"/>
        <v>88.833333333333329</v>
      </c>
      <c r="AM56" s="5">
        <f t="shared" si="2"/>
        <v>110.16666666666667</v>
      </c>
      <c r="AO56" s="5">
        <f t="shared" si="5"/>
        <v>51.261904761904759</v>
      </c>
      <c r="AP56" s="5">
        <f t="shared" si="3"/>
        <v>83.166666666666657</v>
      </c>
      <c r="AQ56" s="5">
        <f t="shared" si="4"/>
        <v>112.95238095238096</v>
      </c>
      <c r="AT56">
        <v>51.166666666666664</v>
      </c>
      <c r="AU56">
        <v>88.833333333333329</v>
      </c>
      <c r="AV56">
        <v>110.16666666666667</v>
      </c>
      <c r="AW56">
        <v>51.261904761904759</v>
      </c>
      <c r="AX56">
        <v>83.166666666666657</v>
      </c>
      <c r="AY56">
        <v>112.95238095238096</v>
      </c>
    </row>
    <row r="57" spans="1:51" x14ac:dyDescent="0.45">
      <c r="A57" s="3">
        <v>20.6</v>
      </c>
      <c r="B57" s="3">
        <v>60</v>
      </c>
      <c r="C57" s="3">
        <v>81</v>
      </c>
      <c r="D57" s="3">
        <v>116</v>
      </c>
      <c r="F57" s="3">
        <v>20.6</v>
      </c>
      <c r="G57" s="3">
        <v>59</v>
      </c>
      <c r="H57" s="3">
        <v>94</v>
      </c>
      <c r="I57" s="3">
        <v>85</v>
      </c>
      <c r="K57" s="3">
        <v>20.6</v>
      </c>
      <c r="L57" s="3">
        <v>58</v>
      </c>
      <c r="M57" s="3">
        <v>58</v>
      </c>
      <c r="N57" s="3">
        <v>133</v>
      </c>
      <c r="P57" s="3">
        <v>20.6</v>
      </c>
      <c r="Q57" s="3">
        <v>44</v>
      </c>
      <c r="R57" s="3">
        <v>79</v>
      </c>
      <c r="S57" s="3">
        <v>114</v>
      </c>
      <c r="U57" s="3">
        <v>20.6</v>
      </c>
      <c r="V57" s="3">
        <v>55</v>
      </c>
      <c r="W57" s="3">
        <v>81</v>
      </c>
      <c r="X57" s="3">
        <v>122</v>
      </c>
      <c r="Z57" s="3">
        <v>20.6</v>
      </c>
      <c r="AA57" s="3">
        <v>61</v>
      </c>
      <c r="AB57" s="3">
        <v>98</v>
      </c>
      <c r="AC57" s="3">
        <v>122</v>
      </c>
      <c r="AE57" s="3">
        <v>20.6</v>
      </c>
      <c r="AF57" s="3">
        <v>282</v>
      </c>
      <c r="AG57" s="3">
        <v>455</v>
      </c>
      <c r="AH57" s="3">
        <v>608</v>
      </c>
      <c r="AJ57" s="3">
        <v>20.6</v>
      </c>
      <c r="AK57" s="5">
        <f t="shared" si="0"/>
        <v>56.166666666666664</v>
      </c>
      <c r="AL57" s="5">
        <f t="shared" si="1"/>
        <v>81.833333333333329</v>
      </c>
      <c r="AM57" s="5">
        <f t="shared" si="2"/>
        <v>115.33333333333333</v>
      </c>
      <c r="AO57" s="5">
        <f t="shared" si="5"/>
        <v>53.5</v>
      </c>
      <c r="AP57" s="5">
        <f t="shared" si="3"/>
        <v>85.095238095238088</v>
      </c>
      <c r="AQ57" s="5">
        <f t="shared" si="4"/>
        <v>114.30952380952382</v>
      </c>
      <c r="AT57">
        <v>56.166666666666664</v>
      </c>
      <c r="AU57">
        <v>81.833333333333329</v>
      </c>
      <c r="AV57">
        <v>115.33333333333333</v>
      </c>
      <c r="AW57">
        <v>53.5</v>
      </c>
      <c r="AX57">
        <v>85.095238095238088</v>
      </c>
      <c r="AY57">
        <v>114.30952380952382</v>
      </c>
    </row>
    <row r="58" spans="1:51" x14ac:dyDescent="0.45">
      <c r="A58" s="3">
        <v>20.7</v>
      </c>
      <c r="B58" s="3">
        <v>52</v>
      </c>
      <c r="C58" s="3">
        <v>83</v>
      </c>
      <c r="D58" s="3">
        <v>100</v>
      </c>
      <c r="F58" s="3">
        <v>20.7</v>
      </c>
      <c r="G58" s="3">
        <v>65</v>
      </c>
      <c r="H58" s="3">
        <v>89</v>
      </c>
      <c r="I58" s="3">
        <v>114</v>
      </c>
      <c r="K58" s="3">
        <v>20.7</v>
      </c>
      <c r="L58" s="3">
        <v>64</v>
      </c>
      <c r="M58" s="3">
        <v>83</v>
      </c>
      <c r="N58" s="3">
        <v>142</v>
      </c>
      <c r="P58" s="3">
        <v>20.7</v>
      </c>
      <c r="Q58" s="3">
        <v>56</v>
      </c>
      <c r="R58" s="3">
        <v>87</v>
      </c>
      <c r="S58" s="3">
        <v>106</v>
      </c>
      <c r="U58" s="3">
        <v>20.7</v>
      </c>
      <c r="V58" s="3">
        <v>53</v>
      </c>
      <c r="W58" s="3">
        <v>98</v>
      </c>
      <c r="X58" s="3">
        <v>157</v>
      </c>
      <c r="Z58" s="3">
        <v>20.7</v>
      </c>
      <c r="AA58" s="3">
        <v>47</v>
      </c>
      <c r="AB58" s="3">
        <v>94</v>
      </c>
      <c r="AC58" s="3">
        <v>144</v>
      </c>
      <c r="AE58" s="3">
        <v>20.7</v>
      </c>
      <c r="AF58" s="3">
        <v>315</v>
      </c>
      <c r="AG58" s="3">
        <v>411</v>
      </c>
      <c r="AH58" s="3">
        <v>587</v>
      </c>
      <c r="AJ58" s="3">
        <v>20.7</v>
      </c>
      <c r="AK58" s="5">
        <f t="shared" si="0"/>
        <v>56.166666666666664</v>
      </c>
      <c r="AL58" s="5">
        <f t="shared" si="1"/>
        <v>89</v>
      </c>
      <c r="AM58" s="5">
        <f t="shared" si="2"/>
        <v>127.16666666666667</v>
      </c>
      <c r="AO58" s="5">
        <f t="shared" si="5"/>
        <v>53.428571428571431</v>
      </c>
      <c r="AP58" s="5">
        <f t="shared" si="3"/>
        <v>85.523809523809518</v>
      </c>
      <c r="AQ58" s="5">
        <f t="shared" si="4"/>
        <v>115.04761904761905</v>
      </c>
      <c r="AT58">
        <v>56.166666666666664</v>
      </c>
      <c r="AU58">
        <v>89</v>
      </c>
      <c r="AV58">
        <v>127.16666666666667</v>
      </c>
      <c r="AW58">
        <v>53.428571428571431</v>
      </c>
      <c r="AX58">
        <v>85.523809523809518</v>
      </c>
      <c r="AY58">
        <v>115.04761904761905</v>
      </c>
    </row>
    <row r="59" spans="1:51" x14ac:dyDescent="0.45">
      <c r="A59" s="3">
        <v>21</v>
      </c>
      <c r="B59" s="3">
        <v>55</v>
      </c>
      <c r="C59" s="3">
        <v>87</v>
      </c>
      <c r="D59" s="3">
        <v>98</v>
      </c>
      <c r="F59" s="3">
        <v>21</v>
      </c>
      <c r="G59" s="3">
        <v>52</v>
      </c>
      <c r="H59" s="3">
        <v>82</v>
      </c>
      <c r="I59" s="3">
        <v>96</v>
      </c>
      <c r="K59" s="3">
        <v>21</v>
      </c>
      <c r="L59" s="3">
        <v>60</v>
      </c>
      <c r="M59" s="3">
        <v>82</v>
      </c>
      <c r="N59" s="3">
        <v>114</v>
      </c>
      <c r="P59" s="3">
        <v>21</v>
      </c>
      <c r="Q59" s="3">
        <v>45</v>
      </c>
      <c r="R59" s="3">
        <v>101</v>
      </c>
      <c r="S59" s="3">
        <v>121</v>
      </c>
      <c r="U59" s="3">
        <v>21</v>
      </c>
      <c r="V59" s="3">
        <v>47</v>
      </c>
      <c r="W59" s="3">
        <v>95</v>
      </c>
      <c r="X59" s="3">
        <v>106</v>
      </c>
      <c r="Z59" s="3">
        <v>21</v>
      </c>
      <c r="AA59" s="3">
        <v>68</v>
      </c>
      <c r="AB59" s="3">
        <v>98</v>
      </c>
      <c r="AC59" s="3">
        <v>106</v>
      </c>
      <c r="AE59" s="3">
        <v>21</v>
      </c>
      <c r="AF59" s="3">
        <v>305</v>
      </c>
      <c r="AG59" s="3">
        <v>423</v>
      </c>
      <c r="AH59" s="3">
        <v>620</v>
      </c>
      <c r="AJ59" s="3">
        <v>21</v>
      </c>
      <c r="AK59" s="5">
        <f t="shared" si="0"/>
        <v>54.5</v>
      </c>
      <c r="AL59" s="5">
        <f t="shared" si="1"/>
        <v>90.833333333333329</v>
      </c>
      <c r="AM59" s="5">
        <f t="shared" si="2"/>
        <v>106.83333333333333</v>
      </c>
      <c r="AO59" s="5">
        <f t="shared" si="5"/>
        <v>55.976190476190474</v>
      </c>
      <c r="AP59" s="5">
        <f t="shared" si="3"/>
        <v>86.023809523809518</v>
      </c>
      <c r="AQ59" s="5">
        <f t="shared" si="4"/>
        <v>116.35714285714286</v>
      </c>
      <c r="AT59">
        <v>54.5</v>
      </c>
      <c r="AU59">
        <v>90.833333333333329</v>
      </c>
      <c r="AV59">
        <v>106.83333333333333</v>
      </c>
      <c r="AW59">
        <v>55.976190476190474</v>
      </c>
      <c r="AX59">
        <v>86.023809523809518</v>
      </c>
      <c r="AY59">
        <v>116.35714285714286</v>
      </c>
    </row>
    <row r="60" spans="1:51" x14ac:dyDescent="0.45">
      <c r="A60" s="3">
        <v>21.2</v>
      </c>
      <c r="B60" s="3">
        <v>61</v>
      </c>
      <c r="C60" s="3">
        <v>94</v>
      </c>
      <c r="D60" s="3">
        <v>112</v>
      </c>
      <c r="F60" s="3">
        <v>21.2</v>
      </c>
      <c r="G60" s="3">
        <v>54</v>
      </c>
      <c r="H60" s="3">
        <v>97</v>
      </c>
      <c r="I60" s="3">
        <v>110</v>
      </c>
      <c r="K60" s="3">
        <v>21.2</v>
      </c>
      <c r="L60" s="3">
        <v>50</v>
      </c>
      <c r="M60" s="3">
        <v>84</v>
      </c>
      <c r="N60" s="3">
        <v>136</v>
      </c>
      <c r="P60" s="3">
        <v>21.2</v>
      </c>
      <c r="Q60" s="3">
        <v>57</v>
      </c>
      <c r="R60" s="3">
        <v>77</v>
      </c>
      <c r="S60" s="3">
        <v>96</v>
      </c>
      <c r="U60" s="3">
        <v>21.2</v>
      </c>
      <c r="V60" s="3">
        <v>70</v>
      </c>
      <c r="W60" s="3">
        <v>94</v>
      </c>
      <c r="X60" s="3">
        <v>104</v>
      </c>
      <c r="Z60" s="3">
        <v>21.2</v>
      </c>
      <c r="AA60" s="3">
        <v>54</v>
      </c>
      <c r="AB60" s="3">
        <v>82</v>
      </c>
      <c r="AC60" s="3">
        <v>129</v>
      </c>
      <c r="AE60" s="3">
        <v>21.2</v>
      </c>
      <c r="AF60" s="3">
        <v>316</v>
      </c>
      <c r="AG60" s="3">
        <v>431</v>
      </c>
      <c r="AH60" s="3">
        <v>639</v>
      </c>
      <c r="AJ60" s="3">
        <v>21.2</v>
      </c>
      <c r="AK60" s="5">
        <f t="shared" si="0"/>
        <v>57.666666666666664</v>
      </c>
      <c r="AL60" s="5">
        <f t="shared" si="1"/>
        <v>88</v>
      </c>
      <c r="AM60" s="5">
        <f t="shared" si="2"/>
        <v>114.5</v>
      </c>
      <c r="AO60" s="5">
        <f t="shared" si="5"/>
        <v>57.095238095238088</v>
      </c>
      <c r="AP60" s="5">
        <f t="shared" si="3"/>
        <v>85.976190476190467</v>
      </c>
      <c r="AQ60" s="5">
        <f t="shared" si="4"/>
        <v>117.45238095238095</v>
      </c>
      <c r="AT60">
        <v>57.666666666666664</v>
      </c>
      <c r="AU60">
        <v>88</v>
      </c>
      <c r="AV60">
        <v>114.5</v>
      </c>
      <c r="AW60">
        <v>57.095238095238088</v>
      </c>
      <c r="AX60">
        <v>85.976190476190467</v>
      </c>
      <c r="AY60">
        <v>117.45238095238095</v>
      </c>
    </row>
    <row r="61" spans="1:51" x14ac:dyDescent="0.45">
      <c r="A61" s="3">
        <v>21.4</v>
      </c>
      <c r="B61" s="3">
        <v>47</v>
      </c>
      <c r="C61" s="3">
        <v>77</v>
      </c>
      <c r="D61" s="3">
        <v>113</v>
      </c>
      <c r="F61" s="3">
        <v>21.4</v>
      </c>
      <c r="G61" s="3">
        <v>58</v>
      </c>
      <c r="H61" s="3">
        <v>73</v>
      </c>
      <c r="I61" s="3">
        <v>112</v>
      </c>
      <c r="K61" s="3">
        <v>21.4</v>
      </c>
      <c r="L61" s="3">
        <v>52</v>
      </c>
      <c r="M61" s="3">
        <v>81</v>
      </c>
      <c r="N61" s="3">
        <v>126</v>
      </c>
      <c r="P61" s="3">
        <v>21.4</v>
      </c>
      <c r="Q61" s="3">
        <v>54</v>
      </c>
      <c r="R61" s="3">
        <v>81</v>
      </c>
      <c r="S61" s="3">
        <v>96</v>
      </c>
      <c r="U61" s="3">
        <v>21.4</v>
      </c>
      <c r="V61" s="3">
        <v>59</v>
      </c>
      <c r="W61" s="3">
        <v>84</v>
      </c>
      <c r="X61" s="3">
        <v>134</v>
      </c>
      <c r="Z61" s="3">
        <v>21.4</v>
      </c>
      <c r="AA61" s="3">
        <v>62</v>
      </c>
      <c r="AB61" s="3">
        <v>94</v>
      </c>
      <c r="AC61" s="3">
        <v>150</v>
      </c>
      <c r="AE61" s="3">
        <v>21.4</v>
      </c>
      <c r="AF61" s="3">
        <v>312</v>
      </c>
      <c r="AG61" s="3">
        <v>448</v>
      </c>
      <c r="AH61" s="3">
        <v>605</v>
      </c>
      <c r="AJ61" s="3">
        <v>21.4</v>
      </c>
      <c r="AK61" s="5">
        <f t="shared" si="0"/>
        <v>55.333333333333336</v>
      </c>
      <c r="AL61" s="5">
        <f t="shared" si="1"/>
        <v>81.666666666666671</v>
      </c>
      <c r="AM61" s="5">
        <f t="shared" si="2"/>
        <v>121.83333333333333</v>
      </c>
      <c r="AO61" s="5">
        <f t="shared" si="5"/>
        <v>57.452380952380956</v>
      </c>
      <c r="AP61" s="5">
        <f t="shared" si="3"/>
        <v>86.714285714285708</v>
      </c>
      <c r="AQ61" s="5">
        <f t="shared" si="4"/>
        <v>116.61904761904762</v>
      </c>
      <c r="AT61">
        <v>55.333333333333336</v>
      </c>
      <c r="AU61">
        <v>81.666666666666671</v>
      </c>
      <c r="AV61">
        <v>121.83333333333333</v>
      </c>
      <c r="AW61">
        <v>57.452380952380956</v>
      </c>
      <c r="AX61">
        <v>86.714285714285708</v>
      </c>
      <c r="AY61">
        <v>116.61904761904762</v>
      </c>
    </row>
    <row r="62" spans="1:51" x14ac:dyDescent="0.45">
      <c r="A62" s="3">
        <v>21.6</v>
      </c>
      <c r="B62" s="3">
        <v>59</v>
      </c>
      <c r="C62" s="3">
        <v>85</v>
      </c>
      <c r="D62" s="3">
        <v>111</v>
      </c>
      <c r="F62" s="3">
        <v>21.6</v>
      </c>
      <c r="G62" s="3">
        <v>57</v>
      </c>
      <c r="H62" s="3">
        <v>81</v>
      </c>
      <c r="I62" s="3">
        <v>134</v>
      </c>
      <c r="K62" s="3">
        <v>21.6</v>
      </c>
      <c r="L62" s="3">
        <v>63</v>
      </c>
      <c r="M62" s="3">
        <v>84</v>
      </c>
      <c r="N62" s="3">
        <v>101</v>
      </c>
      <c r="P62" s="3">
        <v>21.6</v>
      </c>
      <c r="Q62" s="3">
        <v>66</v>
      </c>
      <c r="R62" s="3">
        <v>70</v>
      </c>
      <c r="S62" s="3">
        <v>119</v>
      </c>
      <c r="U62" s="3">
        <v>21.6</v>
      </c>
      <c r="V62" s="3">
        <v>61</v>
      </c>
      <c r="W62" s="3">
        <v>77</v>
      </c>
      <c r="X62" s="3">
        <v>121</v>
      </c>
      <c r="Z62" s="3">
        <v>21.6</v>
      </c>
      <c r="AA62" s="3">
        <v>59</v>
      </c>
      <c r="AB62" s="3">
        <v>95</v>
      </c>
      <c r="AC62" s="3">
        <v>126</v>
      </c>
      <c r="AE62" s="3">
        <v>21.6</v>
      </c>
      <c r="AF62" s="3">
        <v>355</v>
      </c>
      <c r="AG62" s="3">
        <v>494</v>
      </c>
      <c r="AH62" s="3">
        <v>609</v>
      </c>
      <c r="AJ62" s="3">
        <v>21.6</v>
      </c>
      <c r="AK62" s="5">
        <f t="shared" si="0"/>
        <v>60.833333333333336</v>
      </c>
      <c r="AL62" s="5">
        <f t="shared" si="1"/>
        <v>82</v>
      </c>
      <c r="AM62" s="5">
        <f t="shared" si="2"/>
        <v>118.66666666666667</v>
      </c>
      <c r="AO62" s="5">
        <f t="shared" si="5"/>
        <v>57.142857142857153</v>
      </c>
      <c r="AP62" s="5">
        <f t="shared" si="3"/>
        <v>87.5</v>
      </c>
      <c r="AQ62" s="5">
        <f t="shared" si="4"/>
        <v>115.88095238095238</v>
      </c>
      <c r="AT62">
        <v>60.833333333333336</v>
      </c>
      <c r="AU62">
        <v>82</v>
      </c>
      <c r="AV62">
        <v>118.66666666666667</v>
      </c>
      <c r="AW62">
        <v>57.142857142857153</v>
      </c>
      <c r="AX62">
        <v>87.5</v>
      </c>
      <c r="AY62">
        <v>115.88095238095238</v>
      </c>
    </row>
    <row r="63" spans="1:51" x14ac:dyDescent="0.45">
      <c r="A63" s="3">
        <v>21.7</v>
      </c>
      <c r="B63" s="3">
        <v>70</v>
      </c>
      <c r="C63" s="3">
        <v>81</v>
      </c>
      <c r="D63" s="3">
        <v>124</v>
      </c>
      <c r="F63" s="3">
        <v>21.7</v>
      </c>
      <c r="G63" s="3">
        <v>54</v>
      </c>
      <c r="H63" s="3">
        <v>81</v>
      </c>
      <c r="I63" s="3">
        <v>135</v>
      </c>
      <c r="K63" s="3">
        <v>21.7</v>
      </c>
      <c r="L63" s="3">
        <v>50</v>
      </c>
      <c r="M63" s="3">
        <v>92</v>
      </c>
      <c r="N63" s="3">
        <v>110</v>
      </c>
      <c r="P63" s="3">
        <v>21.7</v>
      </c>
      <c r="Q63" s="3">
        <v>55</v>
      </c>
      <c r="R63" s="3">
        <v>75</v>
      </c>
      <c r="S63" s="3">
        <v>111</v>
      </c>
      <c r="U63" s="3">
        <v>21.7</v>
      </c>
      <c r="V63" s="3">
        <v>61</v>
      </c>
      <c r="W63" s="3">
        <v>95</v>
      </c>
      <c r="X63" s="3">
        <v>107</v>
      </c>
      <c r="Z63" s="3">
        <v>21.7</v>
      </c>
      <c r="AA63" s="3">
        <v>64</v>
      </c>
      <c r="AB63" s="3">
        <v>107</v>
      </c>
      <c r="AC63" s="3">
        <v>120</v>
      </c>
      <c r="AE63" s="3">
        <v>21.7</v>
      </c>
      <c r="AF63" s="3">
        <v>343</v>
      </c>
      <c r="AG63" s="3">
        <v>471</v>
      </c>
      <c r="AH63" s="3">
        <v>614</v>
      </c>
      <c r="AJ63" s="3">
        <v>21.7</v>
      </c>
      <c r="AK63" s="5">
        <f t="shared" si="0"/>
        <v>59</v>
      </c>
      <c r="AL63" s="5">
        <f t="shared" si="1"/>
        <v>88.5</v>
      </c>
      <c r="AM63" s="5">
        <f t="shared" si="2"/>
        <v>117.83333333333333</v>
      </c>
      <c r="AO63" s="5">
        <f t="shared" si="5"/>
        <v>58.428571428571431</v>
      </c>
      <c r="AP63" s="5">
        <f t="shared" si="3"/>
        <v>87.380952380952394</v>
      </c>
      <c r="AQ63" s="5">
        <f t="shared" si="4"/>
        <v>116.35714285714285</v>
      </c>
      <c r="AT63">
        <v>59</v>
      </c>
      <c r="AU63">
        <v>88.5</v>
      </c>
      <c r="AV63">
        <v>117.83333333333333</v>
      </c>
      <c r="AW63">
        <v>58.428571428571431</v>
      </c>
      <c r="AX63">
        <v>87.380952380952394</v>
      </c>
      <c r="AY63">
        <v>116.35714285714285</v>
      </c>
    </row>
    <row r="64" spans="1:51" x14ac:dyDescent="0.45">
      <c r="A64" s="3">
        <v>22</v>
      </c>
      <c r="B64" s="3">
        <v>68</v>
      </c>
      <c r="C64" s="3">
        <v>88</v>
      </c>
      <c r="D64" s="3">
        <v>99</v>
      </c>
      <c r="F64" s="3">
        <v>22</v>
      </c>
      <c r="G64" s="3">
        <v>58</v>
      </c>
      <c r="H64" s="3">
        <v>84</v>
      </c>
      <c r="I64" s="3">
        <v>118</v>
      </c>
      <c r="K64" s="3">
        <v>22</v>
      </c>
      <c r="L64" s="3">
        <v>61</v>
      </c>
      <c r="M64" s="3">
        <v>78</v>
      </c>
      <c r="N64" s="3">
        <v>109</v>
      </c>
      <c r="P64" s="3">
        <v>22</v>
      </c>
      <c r="Q64" s="3">
        <v>58</v>
      </c>
      <c r="R64" s="3">
        <v>81</v>
      </c>
      <c r="S64" s="3">
        <v>101</v>
      </c>
      <c r="U64" s="3">
        <v>22</v>
      </c>
      <c r="V64" s="3">
        <v>48</v>
      </c>
      <c r="W64" s="3">
        <v>100</v>
      </c>
      <c r="X64" s="3">
        <v>102</v>
      </c>
      <c r="Z64" s="3">
        <v>22</v>
      </c>
      <c r="AA64" s="3">
        <v>59</v>
      </c>
      <c r="AB64" s="3">
        <v>91</v>
      </c>
      <c r="AC64" s="3">
        <v>128</v>
      </c>
      <c r="AE64" s="3">
        <v>22</v>
      </c>
      <c r="AF64" s="3">
        <v>314</v>
      </c>
      <c r="AG64" s="3">
        <v>482</v>
      </c>
      <c r="AH64" s="3">
        <v>592</v>
      </c>
      <c r="AJ64" s="3">
        <v>22</v>
      </c>
      <c r="AK64" s="5">
        <f t="shared" si="0"/>
        <v>58.666666666666664</v>
      </c>
      <c r="AL64" s="5">
        <f t="shared" si="1"/>
        <v>87</v>
      </c>
      <c r="AM64" s="7">
        <f t="shared" si="2"/>
        <v>109.5</v>
      </c>
      <c r="AO64" s="5">
        <f t="shared" si="5"/>
        <v>58.333333333333336</v>
      </c>
      <c r="AP64" s="5">
        <f t="shared" si="3"/>
        <v>88.547619047619051</v>
      </c>
      <c r="AQ64" s="7">
        <f t="shared" si="4"/>
        <v>117.04761904761904</v>
      </c>
      <c r="AT64">
        <v>58.666666666666664</v>
      </c>
      <c r="AU64">
        <v>87</v>
      </c>
      <c r="AV64">
        <v>109.5</v>
      </c>
      <c r="AW64">
        <v>58.333333333333336</v>
      </c>
      <c r="AX64">
        <v>88.547619047619051</v>
      </c>
      <c r="AY64">
        <v>117.04761904761904</v>
      </c>
    </row>
    <row r="65" spans="1:50" x14ac:dyDescent="0.45">
      <c r="A65" s="3">
        <v>22.2</v>
      </c>
      <c r="B65" s="3">
        <v>49</v>
      </c>
      <c r="C65" s="3">
        <v>85</v>
      </c>
      <c r="D65" s="3">
        <v>133</v>
      </c>
      <c r="F65" s="3">
        <v>22.2</v>
      </c>
      <c r="G65" s="3">
        <v>57</v>
      </c>
      <c r="H65" s="3">
        <v>79</v>
      </c>
      <c r="I65" s="3">
        <v>108</v>
      </c>
      <c r="K65" s="3">
        <v>22.2</v>
      </c>
      <c r="L65" s="3">
        <v>50</v>
      </c>
      <c r="M65" s="3">
        <v>106</v>
      </c>
      <c r="N65" s="3">
        <v>127</v>
      </c>
      <c r="P65" s="3">
        <v>22.2</v>
      </c>
      <c r="Q65" s="3">
        <v>52</v>
      </c>
      <c r="R65" s="3">
        <v>109</v>
      </c>
      <c r="S65" s="3">
        <v>111</v>
      </c>
      <c r="U65" s="3">
        <v>22.2</v>
      </c>
      <c r="V65" s="3">
        <v>58</v>
      </c>
      <c r="W65" s="3">
        <v>81</v>
      </c>
      <c r="X65" s="3">
        <v>119</v>
      </c>
      <c r="Z65" s="3">
        <v>22.2</v>
      </c>
      <c r="AA65" s="3">
        <v>58</v>
      </c>
      <c r="AB65" s="3">
        <v>107</v>
      </c>
      <c r="AC65" s="3">
        <v>134</v>
      </c>
      <c r="AE65" s="3">
        <v>22.2</v>
      </c>
      <c r="AF65" s="3">
        <v>346</v>
      </c>
      <c r="AG65" s="3">
        <v>474</v>
      </c>
      <c r="AH65" s="3">
        <v>680</v>
      </c>
      <c r="AJ65" s="3">
        <v>22.2</v>
      </c>
      <c r="AK65" s="5">
        <f t="shared" si="0"/>
        <v>54</v>
      </c>
      <c r="AL65" s="5">
        <f t="shared" si="1"/>
        <v>94.5</v>
      </c>
      <c r="AM65" s="5">
        <f t="shared" si="2"/>
        <v>122</v>
      </c>
      <c r="AO65" s="5">
        <f t="shared" si="5"/>
        <v>59.119047619047613</v>
      </c>
      <c r="AP65" s="5">
        <f t="shared" si="3"/>
        <v>89.095238095238088</v>
      </c>
      <c r="AQ65" s="5">
        <f t="shared" si="4"/>
        <v>116.19047619047619</v>
      </c>
      <c r="AT65">
        <v>54</v>
      </c>
      <c r="AU65">
        <v>94.5</v>
      </c>
      <c r="AW65">
        <v>59.119047619047613</v>
      </c>
      <c r="AX65">
        <v>89.095238095238088</v>
      </c>
    </row>
    <row r="66" spans="1:50" x14ac:dyDescent="0.45">
      <c r="A66" s="3">
        <v>22.4</v>
      </c>
      <c r="B66" s="3">
        <v>55</v>
      </c>
      <c r="C66" s="3">
        <v>94</v>
      </c>
      <c r="D66" s="3">
        <v>115</v>
      </c>
      <c r="F66" s="3">
        <v>22.4</v>
      </c>
      <c r="G66" s="3">
        <v>71</v>
      </c>
      <c r="H66" s="3">
        <v>97</v>
      </c>
      <c r="I66" s="3">
        <v>104</v>
      </c>
      <c r="K66" s="3">
        <v>22.4</v>
      </c>
      <c r="L66" s="3">
        <v>75</v>
      </c>
      <c r="M66" s="3">
        <v>96</v>
      </c>
      <c r="N66" s="3">
        <v>105</v>
      </c>
      <c r="P66" s="3">
        <v>22.4</v>
      </c>
      <c r="Q66" s="3">
        <v>65</v>
      </c>
      <c r="R66" s="3">
        <v>86</v>
      </c>
      <c r="S66" s="3">
        <v>111</v>
      </c>
      <c r="U66" s="3">
        <v>22.4</v>
      </c>
      <c r="V66" s="3">
        <v>57</v>
      </c>
      <c r="W66" s="3">
        <v>85</v>
      </c>
      <c r="X66" s="3">
        <v>103</v>
      </c>
      <c r="Z66" s="3">
        <v>22.4</v>
      </c>
      <c r="AA66" s="3">
        <v>58</v>
      </c>
      <c r="AB66" s="3">
        <v>82</v>
      </c>
      <c r="AC66" s="3">
        <v>123</v>
      </c>
      <c r="AE66" s="3">
        <v>22.4</v>
      </c>
      <c r="AF66" s="3">
        <v>337</v>
      </c>
      <c r="AG66" s="3">
        <v>456</v>
      </c>
      <c r="AH66" s="3">
        <v>600</v>
      </c>
      <c r="AJ66" s="3">
        <v>22.4</v>
      </c>
      <c r="AK66" s="5">
        <f t="shared" si="0"/>
        <v>63.5</v>
      </c>
      <c r="AL66" s="5">
        <f t="shared" si="1"/>
        <v>90</v>
      </c>
      <c r="AM66" s="5">
        <f t="shared" si="2"/>
        <v>110.16666666666667</v>
      </c>
      <c r="AO66" s="5">
        <f t="shared" si="5"/>
        <v>59.095238095238088</v>
      </c>
      <c r="AP66" s="5">
        <f t="shared" si="3"/>
        <v>89.857142857142875</v>
      </c>
      <c r="AQ66" s="5">
        <f t="shared" si="4"/>
        <v>115.95238095238096</v>
      </c>
      <c r="AT66">
        <v>63.5</v>
      </c>
      <c r="AU66">
        <v>90</v>
      </c>
      <c r="AW66">
        <v>59.095238095238088</v>
      </c>
      <c r="AX66">
        <v>89.857142857142875</v>
      </c>
    </row>
    <row r="67" spans="1:50" x14ac:dyDescent="0.45">
      <c r="A67" s="3">
        <v>22.6</v>
      </c>
      <c r="B67" s="3">
        <v>56</v>
      </c>
      <c r="C67" s="3">
        <v>97</v>
      </c>
      <c r="D67" s="3">
        <v>122</v>
      </c>
      <c r="F67" s="3">
        <v>22.6</v>
      </c>
      <c r="G67" s="3">
        <v>54</v>
      </c>
      <c r="H67" s="3">
        <v>93</v>
      </c>
      <c r="I67" s="3">
        <v>124</v>
      </c>
      <c r="K67" s="3">
        <v>22.6</v>
      </c>
      <c r="L67" s="3">
        <v>56</v>
      </c>
      <c r="M67" s="3">
        <v>98</v>
      </c>
      <c r="N67" s="3">
        <v>131</v>
      </c>
      <c r="P67" s="3">
        <v>22.6</v>
      </c>
      <c r="Q67" s="3">
        <v>58</v>
      </c>
      <c r="R67" s="3">
        <v>86</v>
      </c>
      <c r="S67" s="3">
        <v>117</v>
      </c>
      <c r="U67" s="3">
        <v>22.6</v>
      </c>
      <c r="V67" s="3">
        <v>66</v>
      </c>
      <c r="W67" s="3">
        <v>105</v>
      </c>
      <c r="X67" s="3">
        <v>106</v>
      </c>
      <c r="Z67" s="3">
        <v>22.6</v>
      </c>
      <c r="AA67" s="3">
        <v>52</v>
      </c>
      <c r="AB67" s="3">
        <v>98</v>
      </c>
      <c r="AC67" s="3">
        <v>116</v>
      </c>
      <c r="AE67" s="3">
        <v>22.6</v>
      </c>
      <c r="AF67" s="3">
        <v>342</v>
      </c>
      <c r="AG67" s="3">
        <v>464</v>
      </c>
      <c r="AH67" s="3">
        <v>659</v>
      </c>
      <c r="AJ67" s="3">
        <v>22.6</v>
      </c>
      <c r="AK67" s="5">
        <f t="shared" si="0"/>
        <v>57</v>
      </c>
      <c r="AL67" s="5">
        <f t="shared" si="1"/>
        <v>96.166666666666671</v>
      </c>
      <c r="AM67" s="5">
        <f t="shared" si="2"/>
        <v>119.33333333333333</v>
      </c>
      <c r="AO67" s="5">
        <f t="shared" si="5"/>
        <v>59.880952380952387</v>
      </c>
      <c r="AP67" s="5">
        <f t="shared" si="3"/>
        <v>89.666666666666657</v>
      </c>
      <c r="AQ67" s="5">
        <f t="shared" si="4"/>
        <v>116.07142857142857</v>
      </c>
      <c r="AT67">
        <v>57</v>
      </c>
      <c r="AU67">
        <v>96.166666666666671</v>
      </c>
      <c r="AW67">
        <v>59.880952380952387</v>
      </c>
      <c r="AX67">
        <v>89.666666666666657</v>
      </c>
    </row>
    <row r="68" spans="1:50" x14ac:dyDescent="0.45">
      <c r="A68" s="3">
        <v>22.7</v>
      </c>
      <c r="B68" s="3">
        <v>69</v>
      </c>
      <c r="C68" s="3">
        <v>64</v>
      </c>
      <c r="D68" s="3">
        <v>113</v>
      </c>
      <c r="F68" s="3">
        <v>22.7</v>
      </c>
      <c r="G68" s="3">
        <v>59</v>
      </c>
      <c r="H68" s="3">
        <v>74</v>
      </c>
      <c r="I68" s="3">
        <v>124</v>
      </c>
      <c r="K68" s="3">
        <v>22.7</v>
      </c>
      <c r="L68" s="3">
        <v>60</v>
      </c>
      <c r="M68" s="3">
        <v>98</v>
      </c>
      <c r="N68" s="3">
        <v>128</v>
      </c>
      <c r="P68" s="3">
        <v>22.7</v>
      </c>
      <c r="Q68" s="3">
        <v>55</v>
      </c>
      <c r="R68" s="3">
        <v>90</v>
      </c>
      <c r="S68" s="3">
        <v>110</v>
      </c>
      <c r="U68" s="3">
        <v>22.7</v>
      </c>
      <c r="V68" s="3">
        <v>64</v>
      </c>
      <c r="W68" s="3">
        <v>85</v>
      </c>
      <c r="X68" s="3">
        <v>104</v>
      </c>
      <c r="Z68" s="3">
        <v>22.7</v>
      </c>
      <c r="AA68" s="3">
        <v>58</v>
      </c>
      <c r="AB68" s="3">
        <v>102</v>
      </c>
      <c r="AC68" s="3">
        <v>116</v>
      </c>
      <c r="AE68" s="3">
        <v>22.7</v>
      </c>
      <c r="AF68" s="3">
        <v>346</v>
      </c>
      <c r="AG68" s="3">
        <v>455</v>
      </c>
      <c r="AH68" s="3">
        <v>597</v>
      </c>
      <c r="AJ68" s="3">
        <v>22.7</v>
      </c>
      <c r="AK68" s="5">
        <f t="shared" si="0"/>
        <v>60.833333333333336</v>
      </c>
      <c r="AL68" s="5">
        <f t="shared" si="1"/>
        <v>85.5</v>
      </c>
      <c r="AM68" s="5">
        <f t="shared" si="2"/>
        <v>115.83333333333333</v>
      </c>
      <c r="AO68" s="5">
        <f t="shared" si="5"/>
        <v>60.619047619047613</v>
      </c>
      <c r="AP68" s="5">
        <f t="shared" si="3"/>
        <v>89.904761904761898</v>
      </c>
      <c r="AQ68" s="5">
        <f t="shared" si="4"/>
        <v>116.57142857142856</v>
      </c>
      <c r="AT68">
        <v>60.833333333333336</v>
      </c>
      <c r="AU68">
        <v>85.5</v>
      </c>
      <c r="AW68">
        <v>60.619047619047613</v>
      </c>
      <c r="AX68">
        <v>89.904761904761898</v>
      </c>
    </row>
    <row r="69" spans="1:50" x14ac:dyDescent="0.45">
      <c r="A69" s="3">
        <v>23</v>
      </c>
      <c r="B69" s="3">
        <v>49</v>
      </c>
      <c r="C69" s="3">
        <v>87</v>
      </c>
      <c r="D69" s="3">
        <v>96</v>
      </c>
      <c r="F69" s="3">
        <v>23</v>
      </c>
      <c r="G69" s="3">
        <v>64</v>
      </c>
      <c r="H69" s="3">
        <v>80</v>
      </c>
      <c r="I69" s="3">
        <v>111</v>
      </c>
      <c r="K69" s="3">
        <v>23</v>
      </c>
      <c r="L69" s="3">
        <v>58</v>
      </c>
      <c r="M69" s="3">
        <v>92</v>
      </c>
      <c r="N69" s="3">
        <v>120</v>
      </c>
      <c r="P69" s="3">
        <v>23</v>
      </c>
      <c r="Q69" s="3">
        <v>67</v>
      </c>
      <c r="R69" s="3">
        <v>89</v>
      </c>
      <c r="S69" s="3">
        <v>127</v>
      </c>
      <c r="U69" s="3">
        <v>23</v>
      </c>
      <c r="V69" s="3">
        <v>71</v>
      </c>
      <c r="W69" s="3">
        <v>84</v>
      </c>
      <c r="X69" s="3">
        <v>139</v>
      </c>
      <c r="Z69" s="3">
        <v>23</v>
      </c>
      <c r="AA69" s="3">
        <v>55</v>
      </c>
      <c r="AB69" s="3">
        <v>92</v>
      </c>
      <c r="AC69" s="3">
        <v>109</v>
      </c>
      <c r="AE69" s="3">
        <v>23</v>
      </c>
      <c r="AF69" s="3">
        <v>346</v>
      </c>
      <c r="AG69" s="3">
        <v>463</v>
      </c>
      <c r="AH69" s="3">
        <v>613</v>
      </c>
      <c r="AJ69" s="3">
        <v>23</v>
      </c>
      <c r="AK69" s="5">
        <f t="shared" ref="AK69:AK132" si="6">AVERAGE(B69,G69,L69,Q69,V69,AA69)</f>
        <v>60.666666666666664</v>
      </c>
      <c r="AL69" s="5">
        <f t="shared" ref="AL69:AL132" si="7">AVERAGE(C69,H69,M69,R69,W69,AB69)</f>
        <v>87.333333333333329</v>
      </c>
      <c r="AM69" s="5">
        <f t="shared" ref="AM69:AM132" si="8">AVERAGE(D69,I69,N69,S69,X69,AC69)</f>
        <v>117</v>
      </c>
      <c r="AO69" s="5">
        <f t="shared" si="5"/>
        <v>61.785714285714285</v>
      </c>
      <c r="AP69" s="5">
        <f t="shared" si="3"/>
        <v>89.19047619047619</v>
      </c>
      <c r="AQ69" s="5">
        <f t="shared" si="4"/>
        <v>115.66666666666666</v>
      </c>
      <c r="AT69">
        <v>60.666666666666664</v>
      </c>
      <c r="AU69">
        <v>87.333333333333329</v>
      </c>
      <c r="AW69">
        <v>61.785714285714285</v>
      </c>
      <c r="AX69">
        <v>89.19047619047619</v>
      </c>
    </row>
    <row r="70" spans="1:50" x14ac:dyDescent="0.45">
      <c r="A70" s="3">
        <v>23.2</v>
      </c>
      <c r="B70" s="3">
        <v>64</v>
      </c>
      <c r="C70" s="3">
        <v>79</v>
      </c>
      <c r="D70" s="3">
        <v>123</v>
      </c>
      <c r="F70" s="3">
        <v>23.2</v>
      </c>
      <c r="G70" s="3">
        <v>76</v>
      </c>
      <c r="H70" s="3">
        <v>76</v>
      </c>
      <c r="I70" s="3">
        <v>125</v>
      </c>
      <c r="K70" s="3">
        <v>23.2</v>
      </c>
      <c r="L70" s="3">
        <v>62</v>
      </c>
      <c r="M70" s="3">
        <v>80</v>
      </c>
      <c r="N70" s="3">
        <v>119</v>
      </c>
      <c r="P70" s="3">
        <v>23.2</v>
      </c>
      <c r="Q70" s="3">
        <v>64</v>
      </c>
      <c r="R70" s="3">
        <v>87</v>
      </c>
      <c r="S70" s="3">
        <v>128</v>
      </c>
      <c r="U70" s="3">
        <v>23.2</v>
      </c>
      <c r="V70" s="3">
        <v>59</v>
      </c>
      <c r="W70" s="3">
        <v>95</v>
      </c>
      <c r="X70" s="3">
        <v>108</v>
      </c>
      <c r="Z70" s="3">
        <v>23.2</v>
      </c>
      <c r="AA70" s="3">
        <v>62</v>
      </c>
      <c r="AB70" s="3">
        <v>106</v>
      </c>
      <c r="AC70" s="3">
        <v>109</v>
      </c>
      <c r="AE70" s="3">
        <v>23.2</v>
      </c>
      <c r="AF70" s="3">
        <v>327</v>
      </c>
      <c r="AG70" s="3">
        <v>470</v>
      </c>
      <c r="AH70" s="3">
        <v>605</v>
      </c>
      <c r="AJ70" s="3">
        <v>23.2</v>
      </c>
      <c r="AK70" s="5">
        <f t="shared" si="6"/>
        <v>64.5</v>
      </c>
      <c r="AL70" s="7">
        <f t="shared" si="7"/>
        <v>87.166666666666671</v>
      </c>
      <c r="AM70" s="5">
        <f t="shared" si="8"/>
        <v>118.66666666666667</v>
      </c>
      <c r="AO70" s="5">
        <f t="shared" si="5"/>
        <v>62.095238095238095</v>
      </c>
      <c r="AP70" s="7">
        <f t="shared" si="3"/>
        <v>88.142857142857139</v>
      </c>
      <c r="AQ70" s="5">
        <f t="shared" si="4"/>
        <v>116.14285714285712</v>
      </c>
      <c r="AT70">
        <v>64.5</v>
      </c>
      <c r="AU70">
        <v>87.166666666666671</v>
      </c>
      <c r="AW70">
        <v>62.095238095238095</v>
      </c>
      <c r="AX70">
        <v>88.142857142857139</v>
      </c>
    </row>
    <row r="71" spans="1:50" x14ac:dyDescent="0.45">
      <c r="A71" s="3">
        <v>23.4</v>
      </c>
      <c r="B71" s="3">
        <v>63</v>
      </c>
      <c r="C71" s="3">
        <v>75</v>
      </c>
      <c r="D71" s="3">
        <v>111</v>
      </c>
      <c r="F71" s="3">
        <v>23.4</v>
      </c>
      <c r="G71" s="3">
        <v>70</v>
      </c>
      <c r="H71" s="3">
        <v>87</v>
      </c>
      <c r="I71" s="3">
        <v>106</v>
      </c>
      <c r="K71" s="3">
        <v>23.4</v>
      </c>
      <c r="L71" s="3">
        <v>64</v>
      </c>
      <c r="M71" s="3">
        <v>80</v>
      </c>
      <c r="N71" s="3">
        <v>110</v>
      </c>
      <c r="P71" s="3">
        <v>23.4</v>
      </c>
      <c r="Q71" s="3">
        <v>61</v>
      </c>
      <c r="R71" s="3">
        <v>96</v>
      </c>
      <c r="S71" s="3">
        <v>93</v>
      </c>
      <c r="U71" s="3">
        <v>23.4</v>
      </c>
      <c r="V71" s="3">
        <v>66</v>
      </c>
      <c r="W71" s="3">
        <v>81</v>
      </c>
      <c r="X71" s="3">
        <v>129</v>
      </c>
      <c r="Z71" s="3">
        <v>23.4</v>
      </c>
      <c r="AA71" s="3">
        <v>59</v>
      </c>
      <c r="AB71" s="3">
        <v>113</v>
      </c>
      <c r="AC71" s="3">
        <v>129</v>
      </c>
      <c r="AE71" s="3">
        <v>23.4</v>
      </c>
      <c r="AF71" s="3">
        <v>370</v>
      </c>
      <c r="AG71" s="3">
        <v>506</v>
      </c>
      <c r="AH71" s="3">
        <v>608</v>
      </c>
      <c r="AJ71" s="3">
        <v>23.4</v>
      </c>
      <c r="AK71" s="5">
        <f t="shared" si="6"/>
        <v>63.833333333333336</v>
      </c>
      <c r="AL71" s="5">
        <f t="shared" si="7"/>
        <v>88.666666666666671</v>
      </c>
      <c r="AM71" s="5">
        <f t="shared" si="8"/>
        <v>113</v>
      </c>
      <c r="AO71" s="5">
        <f t="shared" si="5"/>
        <v>62.523809523809526</v>
      </c>
      <c r="AP71" s="5">
        <f t="shared" si="3"/>
        <v>86.738095238095255</v>
      </c>
      <c r="AQ71" s="5">
        <f t="shared" si="4"/>
        <v>115.26190476190474</v>
      </c>
      <c r="AT71">
        <v>63.833333333333336</v>
      </c>
      <c r="AW71">
        <v>62.523809523809526</v>
      </c>
    </row>
    <row r="72" spans="1:50" x14ac:dyDescent="0.45">
      <c r="A72" s="3">
        <v>23.6</v>
      </c>
      <c r="B72" s="3">
        <v>62</v>
      </c>
      <c r="C72" s="3">
        <v>86</v>
      </c>
      <c r="D72" s="3">
        <v>116</v>
      </c>
      <c r="F72" s="3">
        <v>23.6</v>
      </c>
      <c r="G72" s="3">
        <v>64</v>
      </c>
      <c r="H72" s="3">
        <v>98</v>
      </c>
      <c r="I72" s="3">
        <v>118</v>
      </c>
      <c r="K72" s="3">
        <v>23.6</v>
      </c>
      <c r="L72" s="3">
        <v>64</v>
      </c>
      <c r="M72" s="3">
        <v>75</v>
      </c>
      <c r="N72" s="3">
        <v>118</v>
      </c>
      <c r="P72" s="3">
        <v>23.6</v>
      </c>
      <c r="Q72" s="3">
        <v>61</v>
      </c>
      <c r="R72" s="3">
        <v>90</v>
      </c>
      <c r="S72" s="3">
        <v>108</v>
      </c>
      <c r="U72" s="3">
        <v>23.6</v>
      </c>
      <c r="V72" s="3">
        <v>71</v>
      </c>
      <c r="W72" s="3">
        <v>97</v>
      </c>
      <c r="X72" s="3">
        <v>108</v>
      </c>
      <c r="Z72" s="3">
        <v>23.6</v>
      </c>
      <c r="AA72" s="3">
        <v>51</v>
      </c>
      <c r="AB72" s="3">
        <v>91</v>
      </c>
      <c r="AC72" s="3">
        <v>126</v>
      </c>
      <c r="AE72" s="3">
        <v>23.6</v>
      </c>
      <c r="AF72" s="3">
        <v>360</v>
      </c>
      <c r="AG72" s="3">
        <v>458</v>
      </c>
      <c r="AH72" s="3">
        <v>638</v>
      </c>
      <c r="AJ72" s="3">
        <v>23.6</v>
      </c>
      <c r="AK72" s="7">
        <f t="shared" si="6"/>
        <v>62.166666666666664</v>
      </c>
      <c r="AL72" s="5">
        <f t="shared" si="7"/>
        <v>89.5</v>
      </c>
      <c r="AM72" s="5">
        <f t="shared" si="8"/>
        <v>115.66666666666667</v>
      </c>
      <c r="AO72" s="7">
        <f t="shared" si="5"/>
        <v>61.738095238095234</v>
      </c>
      <c r="AP72" s="5">
        <f t="shared" ref="AP72:AP135" si="9">AVERAGE(AL69:AL75)</f>
        <v>85.904761904761912</v>
      </c>
      <c r="AQ72" s="5">
        <f t="shared" ref="AQ72:AQ135" si="10">AVERAGE(AM69:AM75)</f>
        <v>113.61904761904762</v>
      </c>
      <c r="AT72">
        <v>62.166666666666664</v>
      </c>
      <c r="AW72">
        <v>61.738095238095234</v>
      </c>
    </row>
    <row r="73" spans="1:50" x14ac:dyDescent="0.45">
      <c r="A73" s="3">
        <v>23.8</v>
      </c>
      <c r="B73" s="3">
        <v>59</v>
      </c>
      <c r="C73" s="3">
        <v>73</v>
      </c>
      <c r="D73" s="3">
        <v>110</v>
      </c>
      <c r="F73" s="3">
        <v>23.8</v>
      </c>
      <c r="G73" s="3">
        <v>70</v>
      </c>
      <c r="H73" s="3">
        <v>90</v>
      </c>
      <c r="I73" s="3">
        <v>123</v>
      </c>
      <c r="K73" s="3">
        <v>23.8</v>
      </c>
      <c r="L73" s="3">
        <v>64</v>
      </c>
      <c r="M73" s="3">
        <v>79</v>
      </c>
      <c r="N73" s="3">
        <v>101</v>
      </c>
      <c r="P73" s="3">
        <v>23.8</v>
      </c>
      <c r="Q73" s="3">
        <v>66</v>
      </c>
      <c r="R73" s="3">
        <v>75</v>
      </c>
      <c r="S73" s="3">
        <v>116</v>
      </c>
      <c r="U73" s="3">
        <v>23.8</v>
      </c>
      <c r="V73" s="3">
        <v>56</v>
      </c>
      <c r="W73" s="3">
        <v>105</v>
      </c>
      <c r="X73" s="3">
        <v>117</v>
      </c>
      <c r="Z73" s="3">
        <v>23.8</v>
      </c>
      <c r="AA73" s="3">
        <v>79</v>
      </c>
      <c r="AB73" s="3">
        <v>74</v>
      </c>
      <c r="AC73" s="3">
        <v>114</v>
      </c>
      <c r="AE73" s="3">
        <v>23.8</v>
      </c>
      <c r="AF73" s="3">
        <v>364</v>
      </c>
      <c r="AG73" s="3">
        <v>434</v>
      </c>
      <c r="AH73" s="3">
        <v>615</v>
      </c>
      <c r="AJ73" s="3">
        <v>23.8</v>
      </c>
      <c r="AK73" s="5">
        <f t="shared" si="6"/>
        <v>65.666666666666671</v>
      </c>
      <c r="AL73" s="5">
        <f t="shared" si="7"/>
        <v>82.666666666666671</v>
      </c>
      <c r="AM73" s="5">
        <f t="shared" si="8"/>
        <v>113.5</v>
      </c>
      <c r="AO73" s="5">
        <f t="shared" ref="AO73:AO136" si="11">AVERAGE(AK70:AK76)</f>
        <v>62.095238095238095</v>
      </c>
      <c r="AP73" s="5">
        <f t="shared" si="9"/>
        <v>84.642857142857139</v>
      </c>
      <c r="AQ73" s="5">
        <f t="shared" si="10"/>
        <v>111.73809523809526</v>
      </c>
    </row>
    <row r="74" spans="1:50" x14ac:dyDescent="0.45">
      <c r="A74" s="3">
        <v>24</v>
      </c>
      <c r="B74" s="3">
        <v>74</v>
      </c>
      <c r="C74" s="3">
        <v>88</v>
      </c>
      <c r="D74" s="3">
        <v>114</v>
      </c>
      <c r="F74" s="3">
        <v>24</v>
      </c>
      <c r="G74" s="3">
        <v>52</v>
      </c>
      <c r="H74" s="3">
        <v>84</v>
      </c>
      <c r="I74" s="3">
        <v>112</v>
      </c>
      <c r="K74" s="3">
        <v>24</v>
      </c>
      <c r="L74" s="3">
        <v>55</v>
      </c>
      <c r="M74" s="3">
        <v>94</v>
      </c>
      <c r="N74" s="3">
        <v>115</v>
      </c>
      <c r="P74" s="3">
        <v>24</v>
      </c>
      <c r="Q74" s="3">
        <v>60</v>
      </c>
      <c r="R74" s="3">
        <v>86</v>
      </c>
      <c r="S74" s="3">
        <v>117</v>
      </c>
      <c r="U74" s="3">
        <v>24</v>
      </c>
      <c r="V74" s="3">
        <v>58</v>
      </c>
      <c r="W74" s="3">
        <v>95</v>
      </c>
      <c r="X74" s="3">
        <v>107</v>
      </c>
      <c r="Z74" s="3">
        <v>24</v>
      </c>
      <c r="AA74" s="3">
        <v>61</v>
      </c>
      <c r="AB74" s="3">
        <v>71</v>
      </c>
      <c r="AC74" s="3">
        <v>114</v>
      </c>
      <c r="AE74" s="3">
        <v>24</v>
      </c>
      <c r="AF74" s="3">
        <v>350</v>
      </c>
      <c r="AG74" s="3">
        <v>475</v>
      </c>
      <c r="AH74" s="3">
        <v>594</v>
      </c>
      <c r="AJ74" s="3">
        <v>24</v>
      </c>
      <c r="AK74" s="5">
        <f t="shared" si="6"/>
        <v>60</v>
      </c>
      <c r="AL74" s="5">
        <f t="shared" si="7"/>
        <v>86.333333333333329</v>
      </c>
      <c r="AM74" s="5">
        <f t="shared" si="8"/>
        <v>113.16666666666667</v>
      </c>
      <c r="AO74" s="5">
        <f t="shared" si="11"/>
        <v>60.904761904761912</v>
      </c>
      <c r="AP74" s="5">
        <f t="shared" si="9"/>
        <v>84.571428571428569</v>
      </c>
      <c r="AQ74" s="5">
        <f t="shared" si="10"/>
        <v>109.69047619047622</v>
      </c>
    </row>
    <row r="75" spans="1:50" x14ac:dyDescent="0.45">
      <c r="A75" s="3">
        <v>24.2</v>
      </c>
      <c r="B75" s="3">
        <v>60</v>
      </c>
      <c r="C75" s="3">
        <v>74</v>
      </c>
      <c r="D75" s="3">
        <v>99</v>
      </c>
      <c r="F75" s="3">
        <v>24.2</v>
      </c>
      <c r="G75" s="3">
        <v>54</v>
      </c>
      <c r="H75" s="3">
        <v>72</v>
      </c>
      <c r="I75" s="3">
        <v>110</v>
      </c>
      <c r="K75" s="3">
        <v>24.2</v>
      </c>
      <c r="L75" s="3">
        <v>59</v>
      </c>
      <c r="M75" s="3">
        <v>88</v>
      </c>
      <c r="N75" s="3">
        <v>106</v>
      </c>
      <c r="P75" s="3">
        <v>24.2</v>
      </c>
      <c r="Q75" s="3">
        <v>50</v>
      </c>
      <c r="R75" s="3">
        <v>67</v>
      </c>
      <c r="S75" s="3">
        <v>102</v>
      </c>
      <c r="U75" s="3">
        <v>24.2</v>
      </c>
      <c r="V75" s="3">
        <v>46</v>
      </c>
      <c r="W75" s="3">
        <v>89</v>
      </c>
      <c r="X75" s="3">
        <v>96</v>
      </c>
      <c r="Z75" s="3">
        <v>24.2</v>
      </c>
      <c r="AA75" s="3">
        <v>63</v>
      </c>
      <c r="AB75" s="3">
        <v>88</v>
      </c>
      <c r="AC75" s="3">
        <v>113</v>
      </c>
      <c r="AE75" s="3">
        <v>24.2</v>
      </c>
      <c r="AF75" s="3">
        <v>318</v>
      </c>
      <c r="AG75" s="3">
        <v>427</v>
      </c>
      <c r="AH75" s="3">
        <v>565</v>
      </c>
      <c r="AJ75" s="3">
        <v>24.2</v>
      </c>
      <c r="AK75" s="5">
        <f t="shared" si="6"/>
        <v>55.333333333333336</v>
      </c>
      <c r="AL75" s="5">
        <f t="shared" si="7"/>
        <v>79.666666666666671</v>
      </c>
      <c r="AM75" s="5">
        <f t="shared" si="8"/>
        <v>104.33333333333333</v>
      </c>
      <c r="AO75" s="5">
        <f t="shared" si="11"/>
        <v>59.619047619047628</v>
      </c>
      <c r="AP75" s="5">
        <f t="shared" si="9"/>
        <v>83.357142857142861</v>
      </c>
      <c r="AQ75" s="5">
        <f t="shared" si="10"/>
        <v>109.33333333333334</v>
      </c>
    </row>
    <row r="76" spans="1:50" x14ac:dyDescent="0.45">
      <c r="A76" s="3">
        <v>24.4</v>
      </c>
      <c r="B76" s="3">
        <v>66</v>
      </c>
      <c r="C76" s="3">
        <v>76</v>
      </c>
      <c r="D76" s="3">
        <v>92</v>
      </c>
      <c r="F76" s="3">
        <v>24.4</v>
      </c>
      <c r="G76" s="3">
        <v>66</v>
      </c>
      <c r="H76" s="3">
        <v>94</v>
      </c>
      <c r="I76" s="3">
        <v>122</v>
      </c>
      <c r="K76" s="3">
        <v>24.4</v>
      </c>
      <c r="L76" s="3">
        <v>55</v>
      </c>
      <c r="M76" s="3">
        <v>68</v>
      </c>
      <c r="N76" s="3">
        <v>111</v>
      </c>
      <c r="P76" s="3">
        <v>24.4</v>
      </c>
      <c r="Q76" s="3">
        <v>53</v>
      </c>
      <c r="R76" s="3">
        <v>80</v>
      </c>
      <c r="S76" s="3">
        <v>93</v>
      </c>
      <c r="U76" s="3">
        <v>24.4</v>
      </c>
      <c r="V76" s="3">
        <v>76</v>
      </c>
      <c r="W76" s="3">
        <v>69</v>
      </c>
      <c r="X76" s="3">
        <v>94</v>
      </c>
      <c r="Z76" s="3">
        <v>24.4</v>
      </c>
      <c r="AA76" s="3">
        <v>63</v>
      </c>
      <c r="AB76" s="3">
        <v>84</v>
      </c>
      <c r="AC76" s="3">
        <v>111</v>
      </c>
      <c r="AE76" s="3">
        <v>24.4</v>
      </c>
      <c r="AF76" s="3">
        <v>290</v>
      </c>
      <c r="AG76" s="3">
        <v>426</v>
      </c>
      <c r="AH76" s="3">
        <v>606</v>
      </c>
      <c r="AJ76" s="3">
        <v>24.4</v>
      </c>
      <c r="AK76" s="5">
        <f t="shared" si="6"/>
        <v>63.166666666666664</v>
      </c>
      <c r="AL76" s="5">
        <f t="shared" si="7"/>
        <v>78.5</v>
      </c>
      <c r="AM76" s="5">
        <f t="shared" si="8"/>
        <v>103.83333333333333</v>
      </c>
      <c r="AO76" s="5">
        <f t="shared" si="11"/>
        <v>58.999999999999993</v>
      </c>
      <c r="AP76" s="5">
        <f t="shared" si="9"/>
        <v>82.19047619047619</v>
      </c>
      <c r="AQ76" s="5">
        <f t="shared" si="10"/>
        <v>108</v>
      </c>
    </row>
    <row r="77" spans="1:50" x14ac:dyDescent="0.45">
      <c r="A77" s="3">
        <v>24.6</v>
      </c>
      <c r="B77" s="3">
        <v>39</v>
      </c>
      <c r="C77" s="3">
        <v>81</v>
      </c>
      <c r="D77" s="3">
        <v>102</v>
      </c>
      <c r="F77" s="3">
        <v>24.6</v>
      </c>
      <c r="G77" s="3">
        <v>43</v>
      </c>
      <c r="H77" s="3">
        <v>88</v>
      </c>
      <c r="I77" s="3">
        <v>97</v>
      </c>
      <c r="K77" s="3">
        <v>24.6</v>
      </c>
      <c r="L77" s="3">
        <v>68</v>
      </c>
      <c r="M77" s="3">
        <v>87</v>
      </c>
      <c r="N77" s="3">
        <v>110</v>
      </c>
      <c r="P77" s="3">
        <v>24.6</v>
      </c>
      <c r="Q77" s="3">
        <v>62</v>
      </c>
      <c r="R77" s="3">
        <v>99</v>
      </c>
      <c r="S77" s="3">
        <v>111</v>
      </c>
      <c r="U77" s="3">
        <v>24.6</v>
      </c>
      <c r="V77" s="3">
        <v>53</v>
      </c>
      <c r="W77" s="3">
        <v>80</v>
      </c>
      <c r="X77" s="3">
        <v>107</v>
      </c>
      <c r="Z77" s="3">
        <v>24.6</v>
      </c>
      <c r="AA77" s="3">
        <v>72</v>
      </c>
      <c r="AB77" s="3">
        <v>85</v>
      </c>
      <c r="AC77" s="3">
        <v>99</v>
      </c>
      <c r="AE77" s="3">
        <v>24.6</v>
      </c>
      <c r="AF77" s="3">
        <v>304</v>
      </c>
      <c r="AG77" s="3">
        <v>424</v>
      </c>
      <c r="AH77" s="3">
        <v>575</v>
      </c>
      <c r="AJ77" s="3">
        <v>24.6</v>
      </c>
      <c r="AK77" s="5">
        <f t="shared" si="6"/>
        <v>56.166666666666664</v>
      </c>
      <c r="AL77" s="5">
        <f t="shared" si="7"/>
        <v>86.666666666666671</v>
      </c>
      <c r="AM77" s="5">
        <f t="shared" si="8"/>
        <v>104.33333333333333</v>
      </c>
      <c r="AO77" s="5">
        <f t="shared" si="11"/>
        <v>58.023809523809518</v>
      </c>
      <c r="AP77" s="5">
        <f t="shared" si="9"/>
        <v>83.023809523809533</v>
      </c>
      <c r="AQ77" s="5">
        <f t="shared" si="10"/>
        <v>106.92857142857143</v>
      </c>
    </row>
    <row r="78" spans="1:50" x14ac:dyDescent="0.45">
      <c r="A78" s="3">
        <v>24.8</v>
      </c>
      <c r="B78" s="3">
        <v>56</v>
      </c>
      <c r="C78" s="3">
        <v>79</v>
      </c>
      <c r="D78" s="3">
        <v>94</v>
      </c>
      <c r="F78" s="3">
        <v>24.8</v>
      </c>
      <c r="G78" s="3">
        <v>49</v>
      </c>
      <c r="H78" s="3">
        <v>94</v>
      </c>
      <c r="I78" s="3">
        <v>96</v>
      </c>
      <c r="K78" s="3">
        <v>24.8</v>
      </c>
      <c r="L78" s="3">
        <v>63</v>
      </c>
      <c r="M78" s="3">
        <v>67</v>
      </c>
      <c r="N78" s="3">
        <v>121</v>
      </c>
      <c r="P78" s="3">
        <v>24.8</v>
      </c>
      <c r="Q78" s="3">
        <v>48</v>
      </c>
      <c r="R78" s="3">
        <v>77</v>
      </c>
      <c r="S78" s="3">
        <v>121</v>
      </c>
      <c r="U78" s="3">
        <v>24.8</v>
      </c>
      <c r="V78" s="3">
        <v>55</v>
      </c>
      <c r="W78" s="3">
        <v>76</v>
      </c>
      <c r="X78" s="3">
        <v>105</v>
      </c>
      <c r="Z78" s="3">
        <v>24.8</v>
      </c>
      <c r="AA78" s="3">
        <v>58</v>
      </c>
      <c r="AB78" s="3">
        <v>88</v>
      </c>
      <c r="AC78" s="3">
        <v>126</v>
      </c>
      <c r="AE78" s="3">
        <v>24.8</v>
      </c>
      <c r="AF78" s="3">
        <v>329</v>
      </c>
      <c r="AG78" s="3">
        <v>395</v>
      </c>
      <c r="AH78" s="3">
        <v>582</v>
      </c>
      <c r="AJ78" s="3">
        <v>24.8</v>
      </c>
      <c r="AK78" s="5">
        <f t="shared" si="6"/>
        <v>54.833333333333336</v>
      </c>
      <c r="AL78" s="5">
        <f t="shared" si="7"/>
        <v>80.166666666666671</v>
      </c>
      <c r="AM78" s="5">
        <f t="shared" si="8"/>
        <v>110.5</v>
      </c>
      <c r="AO78" s="5">
        <f t="shared" si="11"/>
        <v>58.023809523809518</v>
      </c>
      <c r="AP78" s="5">
        <f t="shared" si="9"/>
        <v>82.547619047619051</v>
      </c>
      <c r="AQ78" s="5">
        <f t="shared" si="10"/>
        <v>105.73809523809526</v>
      </c>
    </row>
    <row r="79" spans="1:50" x14ac:dyDescent="0.45">
      <c r="A79" s="3">
        <v>25</v>
      </c>
      <c r="B79" s="3">
        <v>58</v>
      </c>
      <c r="C79" s="3">
        <v>74</v>
      </c>
      <c r="D79" s="3">
        <v>112</v>
      </c>
      <c r="F79" s="3">
        <v>25</v>
      </c>
      <c r="G79" s="3">
        <v>39</v>
      </c>
      <c r="H79" s="3">
        <v>78</v>
      </c>
      <c r="I79" s="3">
        <v>105</v>
      </c>
      <c r="K79" s="3">
        <v>25</v>
      </c>
      <c r="L79" s="3">
        <v>70</v>
      </c>
      <c r="M79" s="3">
        <v>88</v>
      </c>
      <c r="N79" s="3">
        <v>108</v>
      </c>
      <c r="P79" s="3">
        <v>25</v>
      </c>
      <c r="Q79" s="3">
        <v>64</v>
      </c>
      <c r="R79" s="3">
        <v>77</v>
      </c>
      <c r="S79" s="3">
        <v>103</v>
      </c>
      <c r="U79" s="3">
        <v>25</v>
      </c>
      <c r="V79" s="3">
        <v>55</v>
      </c>
      <c r="W79" s="3">
        <v>79</v>
      </c>
      <c r="X79" s="3">
        <v>105</v>
      </c>
      <c r="Z79" s="3">
        <v>25</v>
      </c>
      <c r="AA79" s="3">
        <v>61</v>
      </c>
      <c r="AB79" s="3">
        <v>92</v>
      </c>
      <c r="AC79" s="3">
        <v>105</v>
      </c>
      <c r="AE79" s="3">
        <v>25</v>
      </c>
      <c r="AF79" s="3">
        <v>344</v>
      </c>
      <c r="AG79" s="3">
        <v>453</v>
      </c>
      <c r="AH79" s="3">
        <v>547</v>
      </c>
      <c r="AJ79" s="3">
        <v>25</v>
      </c>
      <c r="AK79" s="5">
        <f t="shared" si="6"/>
        <v>57.833333333333336</v>
      </c>
      <c r="AL79" s="5">
        <f t="shared" si="7"/>
        <v>81.333333333333329</v>
      </c>
      <c r="AM79" s="5">
        <f t="shared" si="8"/>
        <v>106.33333333333333</v>
      </c>
      <c r="AO79" s="5">
        <f t="shared" si="11"/>
        <v>59.047619047619044</v>
      </c>
      <c r="AP79" s="5">
        <f t="shared" si="9"/>
        <v>82.595238095238102</v>
      </c>
      <c r="AQ79" s="5">
        <f t="shared" si="10"/>
        <v>105.11904761904762</v>
      </c>
    </row>
    <row r="80" spans="1:50" x14ac:dyDescent="0.45">
      <c r="A80" s="3">
        <v>25.2</v>
      </c>
      <c r="B80" s="3">
        <v>59</v>
      </c>
      <c r="C80" s="3">
        <v>93</v>
      </c>
      <c r="D80" s="3">
        <v>101</v>
      </c>
      <c r="F80" s="3">
        <v>25.2</v>
      </c>
      <c r="G80" s="3">
        <v>50</v>
      </c>
      <c r="H80" s="3">
        <v>100</v>
      </c>
      <c r="I80" s="3">
        <v>102</v>
      </c>
      <c r="K80" s="3">
        <v>25.2</v>
      </c>
      <c r="L80" s="3">
        <v>61</v>
      </c>
      <c r="M80" s="3">
        <v>77</v>
      </c>
      <c r="N80" s="3">
        <v>118</v>
      </c>
      <c r="P80" s="3">
        <v>25.2</v>
      </c>
      <c r="Q80" s="3">
        <v>61</v>
      </c>
      <c r="R80" s="3">
        <v>89</v>
      </c>
      <c r="S80" s="3">
        <v>99</v>
      </c>
      <c r="U80" s="3">
        <v>25.2</v>
      </c>
      <c r="V80" s="3">
        <v>51</v>
      </c>
      <c r="W80" s="3">
        <v>74</v>
      </c>
      <c r="X80" s="3">
        <v>107</v>
      </c>
      <c r="Z80" s="3">
        <v>25.2</v>
      </c>
      <c r="AA80" s="3">
        <v>71</v>
      </c>
      <c r="AB80" s="3">
        <v>98</v>
      </c>
      <c r="AC80" s="3">
        <v>109</v>
      </c>
      <c r="AE80" s="3">
        <v>25.2</v>
      </c>
      <c r="AF80" s="3">
        <v>329</v>
      </c>
      <c r="AG80" s="3">
        <v>428</v>
      </c>
      <c r="AH80" s="3">
        <v>562</v>
      </c>
      <c r="AJ80" s="3">
        <v>25.2</v>
      </c>
      <c r="AK80" s="5">
        <f t="shared" si="6"/>
        <v>58.833333333333336</v>
      </c>
      <c r="AL80" s="5">
        <f t="shared" si="7"/>
        <v>88.5</v>
      </c>
      <c r="AM80" s="5">
        <f t="shared" si="8"/>
        <v>106</v>
      </c>
      <c r="AO80" s="5">
        <f t="shared" si="11"/>
        <v>58.404761904761912</v>
      </c>
      <c r="AP80" s="5">
        <f t="shared" si="9"/>
        <v>83</v>
      </c>
      <c r="AQ80" s="5">
        <f t="shared" si="10"/>
        <v>104.38095238095238</v>
      </c>
    </row>
    <row r="81" spans="1:61" x14ac:dyDescent="0.45">
      <c r="A81" s="3">
        <v>25.4</v>
      </c>
      <c r="B81" s="3">
        <v>54</v>
      </c>
      <c r="C81" s="3">
        <v>81</v>
      </c>
      <c r="D81" s="3">
        <v>94</v>
      </c>
      <c r="F81" s="3">
        <v>25.4</v>
      </c>
      <c r="G81" s="3">
        <v>54</v>
      </c>
      <c r="H81" s="3">
        <v>82</v>
      </c>
      <c r="I81" s="3">
        <v>114</v>
      </c>
      <c r="K81" s="3">
        <v>25.4</v>
      </c>
      <c r="L81" s="3">
        <v>64</v>
      </c>
      <c r="M81" s="3">
        <v>79</v>
      </c>
      <c r="N81" s="3">
        <v>92</v>
      </c>
      <c r="P81" s="3">
        <v>25.4</v>
      </c>
      <c r="Q81" s="3">
        <v>55</v>
      </c>
      <c r="R81" s="3">
        <v>80</v>
      </c>
      <c r="S81" s="3">
        <v>110</v>
      </c>
      <c r="U81" s="3">
        <v>25.4</v>
      </c>
      <c r="V81" s="3">
        <v>61</v>
      </c>
      <c r="W81" s="3">
        <v>82</v>
      </c>
      <c r="X81" s="3">
        <v>124</v>
      </c>
      <c r="Z81" s="3">
        <v>25.4</v>
      </c>
      <c r="AA81" s="3">
        <v>72</v>
      </c>
      <c r="AB81" s="3">
        <v>94</v>
      </c>
      <c r="AC81" s="3">
        <v>95</v>
      </c>
      <c r="AE81" s="3">
        <v>25.4</v>
      </c>
      <c r="AF81" s="3">
        <v>297</v>
      </c>
      <c r="AG81" s="3">
        <v>410</v>
      </c>
      <c r="AH81" s="3">
        <v>564</v>
      </c>
      <c r="AJ81" s="3">
        <v>25.4</v>
      </c>
      <c r="AK81" s="5">
        <f t="shared" si="6"/>
        <v>60</v>
      </c>
      <c r="AL81" s="5">
        <f t="shared" si="7"/>
        <v>83</v>
      </c>
      <c r="AM81" s="5">
        <f t="shared" si="8"/>
        <v>104.83333333333333</v>
      </c>
      <c r="AO81" s="5">
        <f t="shared" si="11"/>
        <v>59.523809523809526</v>
      </c>
      <c r="AP81" s="5">
        <f t="shared" si="9"/>
        <v>82.690476190476176</v>
      </c>
      <c r="AQ81" s="5">
        <f t="shared" si="10"/>
        <v>103.52380952380952</v>
      </c>
    </row>
    <row r="82" spans="1:61" x14ac:dyDescent="0.45">
      <c r="A82" s="3">
        <v>25.6</v>
      </c>
      <c r="B82" s="3">
        <v>57</v>
      </c>
      <c r="C82" s="3">
        <v>77</v>
      </c>
      <c r="D82" s="3">
        <v>102</v>
      </c>
      <c r="F82" s="3">
        <v>25.6</v>
      </c>
      <c r="G82" s="3">
        <v>64</v>
      </c>
      <c r="H82" s="3">
        <v>67</v>
      </c>
      <c r="I82" s="3">
        <v>82</v>
      </c>
      <c r="K82" s="3">
        <v>25.6</v>
      </c>
      <c r="L82" s="3">
        <v>70</v>
      </c>
      <c r="M82" s="3">
        <v>100</v>
      </c>
      <c r="N82" s="3">
        <v>113</v>
      </c>
      <c r="P82" s="3">
        <v>25.6</v>
      </c>
      <c r="Q82" s="3">
        <v>61</v>
      </c>
      <c r="R82" s="3">
        <v>81</v>
      </c>
      <c r="S82" s="3">
        <v>103</v>
      </c>
      <c r="U82" s="3">
        <v>25.6</v>
      </c>
      <c r="V82" s="3">
        <v>67</v>
      </c>
      <c r="W82" s="3">
        <v>72</v>
      </c>
      <c r="X82" s="3">
        <v>114</v>
      </c>
      <c r="Z82" s="3">
        <v>25.6</v>
      </c>
      <c r="AA82" s="3">
        <v>56</v>
      </c>
      <c r="AB82" s="3">
        <v>83</v>
      </c>
      <c r="AC82" s="3">
        <v>86</v>
      </c>
      <c r="AE82" s="3">
        <v>25.6</v>
      </c>
      <c r="AF82" s="3">
        <v>311</v>
      </c>
      <c r="AG82" s="3">
        <v>399</v>
      </c>
      <c r="AH82" s="3">
        <v>554</v>
      </c>
      <c r="AJ82" s="3">
        <v>25.6</v>
      </c>
      <c r="AK82" s="5">
        <f t="shared" si="6"/>
        <v>62.5</v>
      </c>
      <c r="AL82" s="5">
        <f t="shared" si="7"/>
        <v>80</v>
      </c>
      <c r="AM82" s="5">
        <f t="shared" si="8"/>
        <v>100</v>
      </c>
      <c r="AO82" s="5">
        <f t="shared" si="11"/>
        <v>59.642857142857153</v>
      </c>
      <c r="AP82" s="5">
        <f t="shared" si="9"/>
        <v>82.071428571428569</v>
      </c>
      <c r="AQ82" s="5">
        <f t="shared" si="10"/>
        <v>101.64285714285714</v>
      </c>
    </row>
    <row r="83" spans="1:61" x14ac:dyDescent="0.45">
      <c r="A83" s="3">
        <v>25.8</v>
      </c>
      <c r="B83" s="3">
        <v>48</v>
      </c>
      <c r="C83" s="3">
        <v>75</v>
      </c>
      <c r="D83" s="3">
        <v>105</v>
      </c>
      <c r="F83" s="3">
        <v>25.8</v>
      </c>
      <c r="G83" s="3">
        <v>58</v>
      </c>
      <c r="H83" s="3">
        <v>84</v>
      </c>
      <c r="I83" s="3">
        <v>107</v>
      </c>
      <c r="K83" s="3">
        <v>25.8</v>
      </c>
      <c r="L83" s="3">
        <v>62</v>
      </c>
      <c r="M83" s="3">
        <v>94</v>
      </c>
      <c r="N83" s="3">
        <v>114</v>
      </c>
      <c r="P83" s="3">
        <v>25.8</v>
      </c>
      <c r="Q83" s="3">
        <v>55</v>
      </c>
      <c r="R83" s="3">
        <v>79</v>
      </c>
      <c r="S83" s="3">
        <v>87</v>
      </c>
      <c r="U83" s="3">
        <v>25.8</v>
      </c>
      <c r="V83" s="3">
        <v>62</v>
      </c>
      <c r="W83" s="3">
        <v>71</v>
      </c>
      <c r="X83" s="3">
        <v>88</v>
      </c>
      <c r="Z83" s="3">
        <v>25.8</v>
      </c>
      <c r="AA83" s="3">
        <v>67</v>
      </c>
      <c r="AB83" s="3">
        <v>85</v>
      </c>
      <c r="AC83" s="3">
        <v>91</v>
      </c>
      <c r="AE83" s="3">
        <v>25.8</v>
      </c>
      <c r="AF83" s="3">
        <v>329</v>
      </c>
      <c r="AG83" s="3">
        <v>421</v>
      </c>
      <c r="AH83" s="3">
        <v>507</v>
      </c>
      <c r="AJ83" s="3">
        <v>25.8</v>
      </c>
      <c r="AK83" s="5">
        <f t="shared" si="6"/>
        <v>58.666666666666664</v>
      </c>
      <c r="AL83" s="5">
        <f t="shared" si="7"/>
        <v>81.333333333333329</v>
      </c>
      <c r="AM83" s="5">
        <f t="shared" si="8"/>
        <v>98.666666666666671</v>
      </c>
      <c r="AO83" s="5">
        <f t="shared" si="11"/>
        <v>59.214285714285715</v>
      </c>
      <c r="AP83" s="5">
        <f t="shared" si="9"/>
        <v>81.952380952380949</v>
      </c>
      <c r="AQ83" s="5">
        <f t="shared" si="10"/>
        <v>100.02380952380952</v>
      </c>
      <c r="BD83">
        <f>2.0053*0.0000000001</f>
        <v>2.0053E-10</v>
      </c>
    </row>
    <row r="84" spans="1:61" x14ac:dyDescent="0.45">
      <c r="A84" s="3">
        <v>26</v>
      </c>
      <c r="B84" s="3">
        <v>72</v>
      </c>
      <c r="C84" s="3">
        <v>78</v>
      </c>
      <c r="D84" s="3">
        <v>91</v>
      </c>
      <c r="F84" s="3">
        <v>26</v>
      </c>
      <c r="G84" s="3">
        <v>60</v>
      </c>
      <c r="H84" s="3">
        <v>103</v>
      </c>
      <c r="I84" s="3">
        <v>91</v>
      </c>
      <c r="K84" s="3">
        <v>26</v>
      </c>
      <c r="L84" s="3">
        <v>53</v>
      </c>
      <c r="M84" s="3">
        <v>84</v>
      </c>
      <c r="N84" s="3">
        <v>88</v>
      </c>
      <c r="P84" s="3">
        <v>26</v>
      </c>
      <c r="Q84" s="3">
        <v>68</v>
      </c>
      <c r="R84" s="3">
        <v>85</v>
      </c>
      <c r="S84" s="3">
        <v>85</v>
      </c>
      <c r="U84" s="3">
        <v>26</v>
      </c>
      <c r="V84" s="3">
        <v>68</v>
      </c>
      <c r="W84" s="3">
        <v>81</v>
      </c>
      <c r="X84" s="3">
        <v>129</v>
      </c>
      <c r="Z84" s="3">
        <v>26</v>
      </c>
      <c r="AA84" s="3">
        <v>63</v>
      </c>
      <c r="AB84" s="3">
        <v>76</v>
      </c>
      <c r="AC84" s="3">
        <v>106</v>
      </c>
      <c r="AE84" s="3">
        <v>26</v>
      </c>
      <c r="AF84" s="3">
        <v>320</v>
      </c>
      <c r="AG84" s="3">
        <v>394</v>
      </c>
      <c r="AH84" s="3">
        <v>554</v>
      </c>
      <c r="AJ84" s="3">
        <v>26</v>
      </c>
      <c r="AK84" s="5">
        <f t="shared" si="6"/>
        <v>64</v>
      </c>
      <c r="AL84" s="5">
        <f t="shared" si="7"/>
        <v>84.5</v>
      </c>
      <c r="AM84" s="5">
        <f t="shared" si="8"/>
        <v>98.333333333333329</v>
      </c>
      <c r="AO84" s="5">
        <f t="shared" si="11"/>
        <v>58.285714285714278</v>
      </c>
      <c r="AP84" s="5">
        <f t="shared" si="9"/>
        <v>80.523809523809518</v>
      </c>
      <c r="AQ84" s="5">
        <f t="shared" si="10"/>
        <v>97.761904761904745</v>
      </c>
    </row>
    <row r="85" spans="1:61" x14ac:dyDescent="0.45">
      <c r="A85" s="3">
        <v>26.2</v>
      </c>
      <c r="B85" s="3">
        <v>60</v>
      </c>
      <c r="C85" s="3">
        <v>90</v>
      </c>
      <c r="D85" s="3">
        <v>121</v>
      </c>
      <c r="F85" s="3">
        <v>26.2</v>
      </c>
      <c r="G85" s="3">
        <v>67</v>
      </c>
      <c r="H85" s="3">
        <v>76</v>
      </c>
      <c r="I85" s="3">
        <v>97</v>
      </c>
      <c r="K85" s="3">
        <v>26.2</v>
      </c>
      <c r="L85" s="3">
        <v>57</v>
      </c>
      <c r="M85" s="3">
        <v>77</v>
      </c>
      <c r="N85" s="3">
        <v>78</v>
      </c>
      <c r="P85" s="3">
        <v>26.2</v>
      </c>
      <c r="Q85" s="3">
        <v>56</v>
      </c>
      <c r="R85" s="3">
        <v>81</v>
      </c>
      <c r="S85" s="3">
        <v>93</v>
      </c>
      <c r="U85" s="3">
        <v>26.2</v>
      </c>
      <c r="V85" s="3">
        <v>52</v>
      </c>
      <c r="W85" s="3">
        <v>65</v>
      </c>
      <c r="X85" s="3">
        <v>90</v>
      </c>
      <c r="Z85" s="3">
        <v>26.2</v>
      </c>
      <c r="AA85" s="3">
        <v>42</v>
      </c>
      <c r="AB85" s="3">
        <v>66</v>
      </c>
      <c r="AC85" s="3">
        <v>105</v>
      </c>
      <c r="AE85" s="3">
        <v>26.2</v>
      </c>
      <c r="AF85" s="3">
        <v>306</v>
      </c>
      <c r="AG85" s="3">
        <v>426</v>
      </c>
      <c r="AH85" s="3">
        <v>548</v>
      </c>
      <c r="AJ85" s="3">
        <v>26.2</v>
      </c>
      <c r="AK85" s="5">
        <f t="shared" si="6"/>
        <v>55.666666666666664</v>
      </c>
      <c r="AL85" s="5">
        <f t="shared" si="7"/>
        <v>75.833333333333329</v>
      </c>
      <c r="AM85" s="5">
        <f t="shared" si="8"/>
        <v>97.333333333333329</v>
      </c>
      <c r="AO85" s="5">
        <f t="shared" si="11"/>
        <v>57.380952380952372</v>
      </c>
      <c r="AP85" s="5">
        <f t="shared" si="9"/>
        <v>79.476190476190467</v>
      </c>
      <c r="AQ85" s="5">
        <f t="shared" si="10"/>
        <v>93.642857142857139</v>
      </c>
    </row>
    <row r="86" spans="1:61" x14ac:dyDescent="0.45">
      <c r="A86" s="3">
        <v>26.4</v>
      </c>
      <c r="B86" s="3">
        <v>58</v>
      </c>
      <c r="C86" s="3">
        <v>75</v>
      </c>
      <c r="D86" s="3">
        <v>115</v>
      </c>
      <c r="F86" s="3">
        <v>26.4</v>
      </c>
      <c r="G86" s="3">
        <v>57</v>
      </c>
      <c r="H86" s="3">
        <v>64</v>
      </c>
      <c r="I86" s="3">
        <v>90</v>
      </c>
      <c r="K86" s="3">
        <v>26.4</v>
      </c>
      <c r="L86" s="3">
        <v>53</v>
      </c>
      <c r="M86" s="3">
        <v>72</v>
      </c>
      <c r="N86" s="3">
        <v>82</v>
      </c>
      <c r="P86" s="3">
        <v>26.4</v>
      </c>
      <c r="Q86" s="3">
        <v>60</v>
      </c>
      <c r="R86" s="3">
        <v>100</v>
      </c>
      <c r="S86" s="3">
        <v>106</v>
      </c>
      <c r="U86" s="3">
        <v>26.4</v>
      </c>
      <c r="V86" s="3">
        <v>42</v>
      </c>
      <c r="W86" s="3">
        <v>75</v>
      </c>
      <c r="X86" s="3">
        <v>89</v>
      </c>
      <c r="Z86" s="3">
        <v>26.4</v>
      </c>
      <c r="AA86" s="3">
        <v>59</v>
      </c>
      <c r="AB86" s="3">
        <v>97</v>
      </c>
      <c r="AC86" s="3">
        <v>88</v>
      </c>
      <c r="AE86" s="3">
        <v>26.4</v>
      </c>
      <c r="AF86" s="3">
        <v>299</v>
      </c>
      <c r="AG86" s="3">
        <v>414</v>
      </c>
      <c r="AH86" s="3">
        <v>532</v>
      </c>
      <c r="AJ86" s="3">
        <v>26.4</v>
      </c>
      <c r="AK86" s="5">
        <f t="shared" si="6"/>
        <v>54.833333333333336</v>
      </c>
      <c r="AL86" s="5">
        <f t="shared" si="7"/>
        <v>80.5</v>
      </c>
      <c r="AM86" s="5">
        <f t="shared" si="8"/>
        <v>95</v>
      </c>
      <c r="AO86" s="5">
        <f t="shared" si="11"/>
        <v>56.190476190476197</v>
      </c>
      <c r="AP86" s="5">
        <f t="shared" si="9"/>
        <v>78.095238095238088</v>
      </c>
      <c r="AQ86" s="5">
        <f t="shared" si="10"/>
        <v>90.976190476190482</v>
      </c>
      <c r="BC86" t="s">
        <v>27</v>
      </c>
      <c r="BF86">
        <f>AVERAGE(AQ4:AQ5)</f>
        <v>4.083333333333333</v>
      </c>
    </row>
    <row r="87" spans="1:61" x14ac:dyDescent="0.45">
      <c r="A87" s="3">
        <v>26.6</v>
      </c>
      <c r="B87" s="3">
        <v>47</v>
      </c>
      <c r="C87" s="3">
        <v>79</v>
      </c>
      <c r="D87" s="3">
        <v>98</v>
      </c>
      <c r="F87" s="3">
        <v>26.6</v>
      </c>
      <c r="G87" s="3">
        <v>55</v>
      </c>
      <c r="H87" s="3">
        <v>64</v>
      </c>
      <c r="I87" s="3">
        <v>95</v>
      </c>
      <c r="K87" s="3">
        <v>26.6</v>
      </c>
      <c r="L87" s="3">
        <v>47</v>
      </c>
      <c r="M87" s="3">
        <v>74</v>
      </c>
      <c r="N87" s="3">
        <v>82</v>
      </c>
      <c r="P87" s="3">
        <v>26.6</v>
      </c>
      <c r="Q87" s="3">
        <v>47</v>
      </c>
      <c r="R87" s="3">
        <v>83</v>
      </c>
      <c r="S87" s="3">
        <v>81</v>
      </c>
      <c r="U87" s="3">
        <v>26.6</v>
      </c>
      <c r="V87" s="3">
        <v>60</v>
      </c>
      <c r="W87" s="3">
        <v>82</v>
      </c>
      <c r="X87" s="3">
        <v>89</v>
      </c>
      <c r="Z87" s="3">
        <v>26.6</v>
      </c>
      <c r="AA87" s="3">
        <v>58</v>
      </c>
      <c r="AB87" s="3">
        <v>89</v>
      </c>
      <c r="AC87" s="3">
        <v>96</v>
      </c>
      <c r="AE87" s="3">
        <v>26.6</v>
      </c>
      <c r="AF87" s="3">
        <v>334</v>
      </c>
      <c r="AG87" s="3">
        <v>395</v>
      </c>
      <c r="AH87" s="3">
        <v>537</v>
      </c>
      <c r="AJ87" s="3">
        <v>26.6</v>
      </c>
      <c r="AK87" s="5">
        <f t="shared" si="6"/>
        <v>52.333333333333336</v>
      </c>
      <c r="AL87" s="5">
        <f t="shared" si="7"/>
        <v>78.5</v>
      </c>
      <c r="AM87" s="5">
        <f t="shared" si="8"/>
        <v>90.166666666666671</v>
      </c>
      <c r="AO87" s="5">
        <f t="shared" si="11"/>
        <v>55.214285714285715</v>
      </c>
      <c r="AP87" s="5">
        <f t="shared" si="9"/>
        <v>74.928571428571431</v>
      </c>
      <c r="AQ87" s="5">
        <f t="shared" si="10"/>
        <v>88.595238095238088</v>
      </c>
      <c r="BC87" t="s">
        <v>28</v>
      </c>
      <c r="BF87" s="5">
        <f>AVERAGE(AL4:AL12)</f>
        <v>1.2962962962962965</v>
      </c>
    </row>
    <row r="88" spans="1:61" x14ac:dyDescent="0.45">
      <c r="A88" s="3">
        <v>26.8</v>
      </c>
      <c r="B88" s="3">
        <v>50</v>
      </c>
      <c r="C88" s="3">
        <v>92</v>
      </c>
      <c r="D88" s="3">
        <v>0</v>
      </c>
      <c r="F88" s="3">
        <v>26.8</v>
      </c>
      <c r="G88" s="3">
        <v>51</v>
      </c>
      <c r="H88" s="3">
        <v>65</v>
      </c>
      <c r="I88" s="3">
        <v>89</v>
      </c>
      <c r="K88" s="3">
        <v>26.8</v>
      </c>
      <c r="L88" s="3">
        <v>64</v>
      </c>
      <c r="M88" s="3">
        <v>73</v>
      </c>
      <c r="N88" s="3">
        <v>83</v>
      </c>
      <c r="P88" s="3">
        <v>26.8</v>
      </c>
      <c r="Q88" s="3">
        <v>55</v>
      </c>
      <c r="R88" s="3">
        <v>70</v>
      </c>
      <c r="S88" s="3">
        <v>98</v>
      </c>
      <c r="U88" s="3">
        <v>26.8</v>
      </c>
      <c r="V88" s="3">
        <v>52</v>
      </c>
      <c r="W88" s="3">
        <v>80</v>
      </c>
      <c r="X88" s="3">
        <v>94</v>
      </c>
      <c r="Z88" s="3">
        <v>26.8</v>
      </c>
      <c r="AA88" s="3">
        <v>50</v>
      </c>
      <c r="AB88" s="3">
        <v>74</v>
      </c>
      <c r="AC88" s="3">
        <v>92</v>
      </c>
      <c r="AE88" s="3">
        <v>26.8</v>
      </c>
      <c r="AF88" s="3">
        <v>263</v>
      </c>
      <c r="AG88" s="3">
        <v>366</v>
      </c>
      <c r="AH88" s="3">
        <v>488</v>
      </c>
      <c r="AJ88" s="3">
        <v>26.8</v>
      </c>
      <c r="AK88" s="5">
        <f t="shared" si="6"/>
        <v>53.666666666666664</v>
      </c>
      <c r="AL88" s="5">
        <f t="shared" si="7"/>
        <v>75.666666666666671</v>
      </c>
      <c r="AM88" s="5">
        <f t="shared" si="8"/>
        <v>76</v>
      </c>
      <c r="AO88" s="5">
        <f t="shared" si="11"/>
        <v>52.714285714285715</v>
      </c>
      <c r="AP88" s="5">
        <f t="shared" si="9"/>
        <v>71.333333333333329</v>
      </c>
      <c r="AQ88" s="5">
        <f t="shared" si="10"/>
        <v>84.976190476190467</v>
      </c>
      <c r="BC88" t="s">
        <v>29</v>
      </c>
      <c r="BF88" s="5">
        <f>AVERAGE(AK4:AK26)</f>
        <v>0.83333333333333304</v>
      </c>
    </row>
    <row r="89" spans="1:61" x14ac:dyDescent="0.45">
      <c r="A89" s="3">
        <v>27</v>
      </c>
      <c r="B89" s="3">
        <v>57</v>
      </c>
      <c r="C89" s="3">
        <v>74</v>
      </c>
      <c r="D89" s="3">
        <v>75</v>
      </c>
      <c r="F89" s="3">
        <v>27</v>
      </c>
      <c r="G89" s="3">
        <v>53</v>
      </c>
      <c r="H89" s="3">
        <v>62</v>
      </c>
      <c r="I89" s="3">
        <v>75</v>
      </c>
      <c r="K89" s="3">
        <v>27</v>
      </c>
      <c r="L89" s="3">
        <v>50</v>
      </c>
      <c r="M89" s="3">
        <v>76</v>
      </c>
      <c r="N89" s="3">
        <v>80</v>
      </c>
      <c r="P89" s="3">
        <v>27</v>
      </c>
      <c r="Q89" s="3">
        <v>49</v>
      </c>
      <c r="R89" s="3">
        <v>60</v>
      </c>
      <c r="S89" s="3">
        <v>87</v>
      </c>
      <c r="U89" s="3">
        <v>27</v>
      </c>
      <c r="V89" s="3">
        <v>61</v>
      </c>
      <c r="W89" s="3">
        <v>69</v>
      </c>
      <c r="X89" s="3">
        <v>82</v>
      </c>
      <c r="Z89" s="3">
        <v>27</v>
      </c>
      <c r="AA89" s="3">
        <v>55</v>
      </c>
      <c r="AB89" s="3">
        <v>81</v>
      </c>
      <c r="AC89" s="3">
        <v>89</v>
      </c>
      <c r="AE89" s="3">
        <v>27</v>
      </c>
      <c r="AF89" s="3">
        <v>274</v>
      </c>
      <c r="AG89" s="3">
        <v>345</v>
      </c>
      <c r="AH89" s="3">
        <v>449</v>
      </c>
      <c r="AJ89" s="3">
        <v>27</v>
      </c>
      <c r="AK89" s="5">
        <f t="shared" si="6"/>
        <v>54.166666666666664</v>
      </c>
      <c r="AL89" s="5">
        <f t="shared" si="7"/>
        <v>70.333333333333329</v>
      </c>
      <c r="AM89" s="5">
        <f t="shared" si="8"/>
        <v>81.333333333333329</v>
      </c>
      <c r="AO89" s="5">
        <f t="shared" si="11"/>
        <v>51.238095238095234</v>
      </c>
      <c r="AP89" s="5">
        <f t="shared" si="9"/>
        <v>68.714285714285708</v>
      </c>
      <c r="AQ89" s="5">
        <f t="shared" si="10"/>
        <v>81.642857142857139</v>
      </c>
      <c r="BH89" t="s">
        <v>37</v>
      </c>
      <c r="BI89" t="s">
        <v>38</v>
      </c>
    </row>
    <row r="90" spans="1:61" x14ac:dyDescent="0.45">
      <c r="A90" s="3">
        <v>27.2</v>
      </c>
      <c r="B90" s="3">
        <v>58</v>
      </c>
      <c r="C90" s="3">
        <v>54</v>
      </c>
      <c r="D90" s="3">
        <v>80</v>
      </c>
      <c r="F90" s="3">
        <v>27.2</v>
      </c>
      <c r="G90" s="3">
        <v>53</v>
      </c>
      <c r="H90" s="3">
        <v>53</v>
      </c>
      <c r="I90" s="3">
        <v>82</v>
      </c>
      <c r="K90" s="3">
        <v>27.2</v>
      </c>
      <c r="L90" s="3">
        <v>45</v>
      </c>
      <c r="M90" s="3">
        <v>66</v>
      </c>
      <c r="N90" s="3">
        <v>75</v>
      </c>
      <c r="P90" s="3">
        <v>27.2</v>
      </c>
      <c r="Q90" s="3">
        <v>46</v>
      </c>
      <c r="R90" s="3">
        <v>70</v>
      </c>
      <c r="S90" s="3">
        <v>82</v>
      </c>
      <c r="U90" s="3">
        <v>27.2</v>
      </c>
      <c r="V90" s="3">
        <v>49</v>
      </c>
      <c r="W90" s="3">
        <v>52</v>
      </c>
      <c r="X90" s="3">
        <v>84</v>
      </c>
      <c r="Z90" s="3">
        <v>27.2</v>
      </c>
      <c r="AA90" s="3">
        <v>60</v>
      </c>
      <c r="AB90" s="3">
        <v>60</v>
      </c>
      <c r="AC90" s="3">
        <v>89</v>
      </c>
      <c r="AE90" s="3">
        <v>27.2</v>
      </c>
      <c r="AF90" s="3">
        <v>263</v>
      </c>
      <c r="AG90" s="3">
        <v>330</v>
      </c>
      <c r="AH90" s="3">
        <v>447</v>
      </c>
      <c r="AJ90" s="3">
        <v>27.2</v>
      </c>
      <c r="AK90" s="5">
        <f t="shared" si="6"/>
        <v>51.833333333333336</v>
      </c>
      <c r="AL90" s="5">
        <f t="shared" si="7"/>
        <v>59.166666666666664</v>
      </c>
      <c r="AM90" s="5">
        <f t="shared" si="8"/>
        <v>82</v>
      </c>
      <c r="AO90" s="5">
        <f t="shared" si="11"/>
        <v>48.523809523809518</v>
      </c>
      <c r="AP90" s="5">
        <f t="shared" si="9"/>
        <v>65.023809523809533</v>
      </c>
      <c r="AQ90" s="5">
        <f t="shared" si="10"/>
        <v>78.404761904761912</v>
      </c>
      <c r="BC90" t="s">
        <v>30</v>
      </c>
      <c r="BF90">
        <f>(BF86+102.22)/10.667</f>
        <v>9.965626074185181</v>
      </c>
      <c r="BH90">
        <f>SIN(RADIANS(BF90/2))</f>
        <v>8.6856911212741944E-2</v>
      </c>
      <c r="BI90">
        <f>COS(RADIANS(BF90/2))</f>
        <v>0.99622079730076996</v>
      </c>
    </row>
    <row r="91" spans="1:61" x14ac:dyDescent="0.45">
      <c r="A91" s="3">
        <v>27.4</v>
      </c>
      <c r="B91" s="3">
        <v>45</v>
      </c>
      <c r="C91" s="3">
        <v>57</v>
      </c>
      <c r="D91" s="3">
        <v>66</v>
      </c>
      <c r="F91" s="3">
        <v>27.4</v>
      </c>
      <c r="G91" s="3">
        <v>45</v>
      </c>
      <c r="H91" s="3">
        <v>62</v>
      </c>
      <c r="I91" s="3">
        <v>75</v>
      </c>
      <c r="K91" s="3">
        <v>27.4</v>
      </c>
      <c r="L91" s="3">
        <v>45</v>
      </c>
      <c r="M91" s="3">
        <v>61</v>
      </c>
      <c r="N91" s="3">
        <v>69</v>
      </c>
      <c r="P91" s="3">
        <v>27.4</v>
      </c>
      <c r="Q91" s="3">
        <v>49</v>
      </c>
      <c r="R91" s="3">
        <v>59</v>
      </c>
      <c r="S91" s="3">
        <v>74</v>
      </c>
      <c r="U91" s="3">
        <v>27.4</v>
      </c>
      <c r="V91" s="3">
        <v>40</v>
      </c>
      <c r="W91" s="3">
        <v>66</v>
      </c>
      <c r="X91" s="3">
        <v>74</v>
      </c>
      <c r="Z91" s="3">
        <v>27.4</v>
      </c>
      <c r="AA91" s="3">
        <v>55</v>
      </c>
      <c r="AB91" s="3">
        <v>51</v>
      </c>
      <c r="AC91" s="3">
        <v>80</v>
      </c>
      <c r="AE91" s="3">
        <v>27.4</v>
      </c>
      <c r="AF91" s="3">
        <v>251</v>
      </c>
      <c r="AG91" s="3">
        <v>334</v>
      </c>
      <c r="AH91" s="3">
        <v>413</v>
      </c>
      <c r="AJ91" s="3">
        <v>27.4</v>
      </c>
      <c r="AK91" s="5">
        <f t="shared" si="6"/>
        <v>46.5</v>
      </c>
      <c r="AL91" s="5">
        <f t="shared" si="7"/>
        <v>59.333333333333336</v>
      </c>
      <c r="AM91" s="5">
        <f t="shared" si="8"/>
        <v>73</v>
      </c>
      <c r="AO91" s="5">
        <f t="shared" si="11"/>
        <v>46.642857142857146</v>
      </c>
      <c r="AP91" s="5">
        <f t="shared" si="9"/>
        <v>61.261904761904766</v>
      </c>
      <c r="AQ91" s="5">
        <f t="shared" si="10"/>
        <v>75.428571428571431</v>
      </c>
      <c r="BC91" t="s">
        <v>31</v>
      </c>
      <c r="BF91">
        <f>(BF87+96.383)/8.6917</f>
        <v>11.238226848176568</v>
      </c>
      <c r="BH91">
        <f>SIN(RADIANS(BF91/2))</f>
        <v>9.791489440291487E-2</v>
      </c>
      <c r="BI91">
        <f t="shared" ref="BI91:BI92" si="12">COS(RADIANS(BF91/2))</f>
        <v>0.99519479171369563</v>
      </c>
    </row>
    <row r="92" spans="1:61" x14ac:dyDescent="0.45">
      <c r="A92" s="3">
        <v>27.6</v>
      </c>
      <c r="B92" s="3">
        <v>49</v>
      </c>
      <c r="C92" s="3">
        <v>57</v>
      </c>
      <c r="D92" s="3">
        <v>70</v>
      </c>
      <c r="F92" s="3">
        <v>27.6</v>
      </c>
      <c r="G92" s="3">
        <v>40</v>
      </c>
      <c r="H92" s="3">
        <v>54</v>
      </c>
      <c r="I92" s="3">
        <v>65</v>
      </c>
      <c r="K92" s="3">
        <v>27.6</v>
      </c>
      <c r="L92" s="3">
        <v>43</v>
      </c>
      <c r="M92" s="3">
        <v>63</v>
      </c>
      <c r="N92" s="3">
        <v>78</v>
      </c>
      <c r="P92" s="3">
        <v>27.6</v>
      </c>
      <c r="Q92" s="3">
        <v>42</v>
      </c>
      <c r="R92" s="3">
        <v>64</v>
      </c>
      <c r="S92" s="3">
        <v>75</v>
      </c>
      <c r="U92" s="3">
        <v>27.6</v>
      </c>
      <c r="V92" s="3">
        <v>46</v>
      </c>
      <c r="W92" s="3">
        <v>48</v>
      </c>
      <c r="X92" s="3">
        <v>74</v>
      </c>
      <c r="Z92" s="3">
        <v>27.6</v>
      </c>
      <c r="AA92" s="3">
        <v>52</v>
      </c>
      <c r="AB92" s="3">
        <v>59</v>
      </c>
      <c r="AC92" s="3">
        <v>82</v>
      </c>
      <c r="AE92" s="3">
        <v>27.6</v>
      </c>
      <c r="AF92" s="3">
        <v>205</v>
      </c>
      <c r="AG92" s="3">
        <v>296</v>
      </c>
      <c r="AH92" s="3">
        <v>344</v>
      </c>
      <c r="AJ92" s="3">
        <v>27.6</v>
      </c>
      <c r="AK92" s="5">
        <f t="shared" si="6"/>
        <v>45.333333333333336</v>
      </c>
      <c r="AL92" s="5">
        <f t="shared" si="7"/>
        <v>57.5</v>
      </c>
      <c r="AM92" s="5">
        <f t="shared" si="8"/>
        <v>74</v>
      </c>
      <c r="AO92" s="5">
        <f t="shared" si="11"/>
        <v>44.523809523809526</v>
      </c>
      <c r="AP92" s="5">
        <f t="shared" si="9"/>
        <v>57.595238095238095</v>
      </c>
      <c r="AQ92" s="5">
        <f t="shared" si="10"/>
        <v>73.857142857142861</v>
      </c>
      <c r="BC92" t="s">
        <v>32</v>
      </c>
      <c r="BF92">
        <f>(BF88+94.435)/7.0154</f>
        <v>13.57988615522042</v>
      </c>
      <c r="BH92">
        <f>SIN(RADIANS(BF92/2))</f>
        <v>0.11822967481418824</v>
      </c>
      <c r="BI92">
        <f t="shared" si="12"/>
        <v>0.99298627583332255</v>
      </c>
    </row>
    <row r="93" spans="1:61" x14ac:dyDescent="0.45">
      <c r="A93" s="3">
        <v>27.8</v>
      </c>
      <c r="B93" s="3">
        <v>36</v>
      </c>
      <c r="C93" s="3">
        <v>60</v>
      </c>
      <c r="D93" s="3">
        <v>78</v>
      </c>
      <c r="F93" s="3">
        <v>27.8</v>
      </c>
      <c r="G93" s="3">
        <v>27</v>
      </c>
      <c r="H93" s="3">
        <v>40</v>
      </c>
      <c r="I93" s="3">
        <v>77</v>
      </c>
      <c r="K93" s="3">
        <v>27.8</v>
      </c>
      <c r="L93" s="3">
        <v>40</v>
      </c>
      <c r="M93" s="3">
        <v>52</v>
      </c>
      <c r="N93" s="3">
        <v>63</v>
      </c>
      <c r="P93" s="3">
        <v>27.8</v>
      </c>
      <c r="Q93" s="3">
        <v>31</v>
      </c>
      <c r="R93" s="3">
        <v>69</v>
      </c>
      <c r="S93" s="3">
        <v>73</v>
      </c>
      <c r="U93" s="3">
        <v>27.8</v>
      </c>
      <c r="V93" s="3">
        <v>46</v>
      </c>
      <c r="W93" s="3">
        <v>52</v>
      </c>
      <c r="X93" s="3">
        <v>73</v>
      </c>
      <c r="Z93" s="3">
        <v>27.8</v>
      </c>
      <c r="AA93" s="3">
        <v>35</v>
      </c>
      <c r="AB93" s="3">
        <v>55</v>
      </c>
      <c r="AC93" s="3">
        <v>70</v>
      </c>
      <c r="AE93" s="3">
        <v>27.8</v>
      </c>
      <c r="AF93" s="3">
        <v>217</v>
      </c>
      <c r="AG93" s="3">
        <v>278</v>
      </c>
      <c r="AH93" s="3">
        <v>338</v>
      </c>
      <c r="AJ93" s="3">
        <v>27.8</v>
      </c>
      <c r="AK93" s="5">
        <f t="shared" si="6"/>
        <v>35.833333333333336</v>
      </c>
      <c r="AL93" s="5">
        <f t="shared" si="7"/>
        <v>54.666666666666664</v>
      </c>
      <c r="AM93" s="5">
        <f t="shared" si="8"/>
        <v>72.333333333333329</v>
      </c>
      <c r="AO93" s="5">
        <f t="shared" si="11"/>
        <v>41.857142857142854</v>
      </c>
      <c r="AP93" s="5">
        <f t="shared" si="9"/>
        <v>54.952380952380949</v>
      </c>
      <c r="AQ93" s="5">
        <f t="shared" si="10"/>
        <v>69.595238095238088</v>
      </c>
      <c r="BG93" t="s">
        <v>36</v>
      </c>
    </row>
    <row r="94" spans="1:61" x14ac:dyDescent="0.45">
      <c r="A94" s="3">
        <v>28</v>
      </c>
      <c r="B94" s="3">
        <v>39</v>
      </c>
      <c r="C94" s="3">
        <v>48</v>
      </c>
      <c r="D94" s="3">
        <v>74</v>
      </c>
      <c r="F94" s="3">
        <v>28</v>
      </c>
      <c r="G94" s="3">
        <v>39</v>
      </c>
      <c r="H94" s="3">
        <v>57</v>
      </c>
      <c r="I94" s="3">
        <v>76</v>
      </c>
      <c r="K94" s="3">
        <v>28</v>
      </c>
      <c r="L94" s="3">
        <v>36</v>
      </c>
      <c r="M94" s="3">
        <v>39</v>
      </c>
      <c r="N94" s="3">
        <v>71</v>
      </c>
      <c r="P94" s="3">
        <v>28</v>
      </c>
      <c r="Q94" s="3">
        <v>40</v>
      </c>
      <c r="R94" s="3">
        <v>65</v>
      </c>
      <c r="S94" s="3">
        <v>65</v>
      </c>
      <c r="U94" s="3">
        <v>28</v>
      </c>
      <c r="V94" s="3">
        <v>40</v>
      </c>
      <c r="W94" s="3">
        <v>51</v>
      </c>
      <c r="X94" s="3">
        <v>69</v>
      </c>
      <c r="Z94" s="3">
        <v>28</v>
      </c>
      <c r="AA94" s="3">
        <v>41</v>
      </c>
      <c r="AB94" s="3">
        <v>53</v>
      </c>
      <c r="AC94" s="3">
        <v>61</v>
      </c>
      <c r="AE94" s="3">
        <v>28</v>
      </c>
      <c r="AF94" s="3">
        <v>217</v>
      </c>
      <c r="AG94" s="3">
        <v>283</v>
      </c>
      <c r="AH94" s="3">
        <v>334</v>
      </c>
      <c r="AJ94" s="3">
        <v>28</v>
      </c>
      <c r="AK94" s="5">
        <f t="shared" si="6"/>
        <v>39.166666666666664</v>
      </c>
      <c r="AL94" s="5">
        <f t="shared" si="7"/>
        <v>52.166666666666664</v>
      </c>
      <c r="AM94" s="5">
        <f t="shared" si="8"/>
        <v>69.333333333333329</v>
      </c>
      <c r="AO94" s="5">
        <f t="shared" si="11"/>
        <v>39.690476190476197</v>
      </c>
      <c r="AP94" s="5">
        <f t="shared" si="9"/>
        <v>53.047619047619037</v>
      </c>
      <c r="AQ94" s="5">
        <f t="shared" si="10"/>
        <v>66.714285714285708</v>
      </c>
      <c r="BC94" t="s">
        <v>33</v>
      </c>
      <c r="BF94">
        <v>0.20399999999999999</v>
      </c>
      <c r="BG94">
        <f>BF94/BF90</f>
        <v>2.0470364679690194E-2</v>
      </c>
    </row>
    <row r="95" spans="1:61" x14ac:dyDescent="0.45">
      <c r="A95" s="3">
        <v>28.2</v>
      </c>
      <c r="B95" s="3">
        <v>45</v>
      </c>
      <c r="C95" s="3">
        <v>51</v>
      </c>
      <c r="D95" s="3">
        <v>64</v>
      </c>
      <c r="F95" s="3">
        <v>28.2</v>
      </c>
      <c r="G95" s="3">
        <v>32</v>
      </c>
      <c r="H95" s="3">
        <v>61</v>
      </c>
      <c r="I95" s="3">
        <v>76</v>
      </c>
      <c r="K95" s="3">
        <v>28.2</v>
      </c>
      <c r="L95" s="3">
        <v>40</v>
      </c>
      <c r="M95" s="3">
        <v>48</v>
      </c>
      <c r="N95" s="3">
        <v>55</v>
      </c>
      <c r="P95" s="3">
        <v>28.2</v>
      </c>
      <c r="Q95" s="3">
        <v>48</v>
      </c>
      <c r="R95" s="3">
        <v>48</v>
      </c>
      <c r="S95" s="3">
        <v>59</v>
      </c>
      <c r="U95" s="3">
        <v>28.2</v>
      </c>
      <c r="V95" s="3">
        <v>42</v>
      </c>
      <c r="W95" s="3">
        <v>50</v>
      </c>
      <c r="X95" s="3">
        <v>74</v>
      </c>
      <c r="Z95" s="3">
        <v>28.2</v>
      </c>
      <c r="AA95" s="3">
        <v>26</v>
      </c>
      <c r="AB95" s="3">
        <v>42</v>
      </c>
      <c r="AC95" s="3">
        <v>62</v>
      </c>
      <c r="AE95" s="3">
        <v>28.2</v>
      </c>
      <c r="AF95" s="3">
        <v>220</v>
      </c>
      <c r="AG95" s="3">
        <v>288</v>
      </c>
      <c r="AH95" s="3">
        <v>335</v>
      </c>
      <c r="AJ95" s="3">
        <v>28.2</v>
      </c>
      <c r="AK95" s="5">
        <f t="shared" si="6"/>
        <v>38.833333333333336</v>
      </c>
      <c r="AL95" s="5">
        <f t="shared" si="7"/>
        <v>50</v>
      </c>
      <c r="AM95" s="5">
        <f t="shared" si="8"/>
        <v>65</v>
      </c>
      <c r="AO95" s="5">
        <f t="shared" si="11"/>
        <v>37.904761904761912</v>
      </c>
      <c r="AP95" s="5">
        <f t="shared" si="9"/>
        <v>51.857142857142847</v>
      </c>
      <c r="AQ95" s="5">
        <f t="shared" si="10"/>
        <v>64.642857142857139</v>
      </c>
      <c r="BC95" t="s">
        <v>34</v>
      </c>
      <c r="BF95">
        <v>0.33200000000000002</v>
      </c>
      <c r="BG95">
        <f>BF95/BF91</f>
        <v>2.9542026912712471E-2</v>
      </c>
    </row>
    <row r="96" spans="1:61" x14ac:dyDescent="0.45">
      <c r="A96" s="3">
        <v>28.4</v>
      </c>
      <c r="B96" s="3">
        <v>32</v>
      </c>
      <c r="C96" s="3">
        <v>45</v>
      </c>
      <c r="D96" s="3">
        <v>63</v>
      </c>
      <c r="F96" s="3">
        <v>28.4</v>
      </c>
      <c r="G96" s="3">
        <v>35</v>
      </c>
      <c r="H96" s="3">
        <v>62</v>
      </c>
      <c r="I96" s="3">
        <v>72</v>
      </c>
      <c r="K96" s="3">
        <v>28.4</v>
      </c>
      <c r="L96" s="3">
        <v>46</v>
      </c>
      <c r="M96" s="3">
        <v>44</v>
      </c>
      <c r="N96" s="3">
        <v>43</v>
      </c>
      <c r="P96" s="3">
        <v>28.4</v>
      </c>
      <c r="Q96" s="3">
        <v>37</v>
      </c>
      <c r="R96" s="3">
        <v>57</v>
      </c>
      <c r="S96" s="3">
        <v>65</v>
      </c>
      <c r="U96" s="3">
        <v>28.4</v>
      </c>
      <c r="V96" s="3">
        <v>31</v>
      </c>
      <c r="W96" s="3">
        <v>49</v>
      </c>
      <c r="X96" s="3">
        <v>0</v>
      </c>
      <c r="Z96" s="3">
        <v>28.4</v>
      </c>
      <c r="AA96" s="3">
        <v>32</v>
      </c>
      <c r="AB96" s="3">
        <v>54</v>
      </c>
      <c r="AC96" s="3">
        <v>66</v>
      </c>
      <c r="AE96" s="3">
        <v>28.4</v>
      </c>
      <c r="AF96" s="3">
        <v>198</v>
      </c>
      <c r="AG96" s="3">
        <v>273</v>
      </c>
      <c r="AH96" s="3">
        <v>314</v>
      </c>
      <c r="AJ96" s="3">
        <v>28.4</v>
      </c>
      <c r="AK96" s="5">
        <f t="shared" si="6"/>
        <v>35.5</v>
      </c>
      <c r="AL96" s="5">
        <f t="shared" si="7"/>
        <v>51.833333333333336</v>
      </c>
      <c r="AM96" s="5">
        <f t="shared" si="8"/>
        <v>51.5</v>
      </c>
      <c r="AO96" s="5">
        <f t="shared" si="11"/>
        <v>36.928571428571431</v>
      </c>
      <c r="AP96" s="5">
        <f t="shared" si="9"/>
        <v>50.523809523809526</v>
      </c>
      <c r="AQ96" s="5">
        <f t="shared" si="10"/>
        <v>63.071428571428562</v>
      </c>
      <c r="BC96" t="s">
        <v>35</v>
      </c>
      <c r="BF96">
        <v>0.49399999999999999</v>
      </c>
      <c r="BG96">
        <f>BF96/BF92</f>
        <v>3.6377329997725721E-2</v>
      </c>
    </row>
    <row r="97" spans="1:69" x14ac:dyDescent="0.45">
      <c r="A97" s="3">
        <v>28.6</v>
      </c>
      <c r="B97" s="3">
        <v>45</v>
      </c>
      <c r="C97" s="3">
        <v>44</v>
      </c>
      <c r="D97" s="3">
        <v>60</v>
      </c>
      <c r="F97" s="3">
        <v>28.6</v>
      </c>
      <c r="G97" s="3">
        <v>36</v>
      </c>
      <c r="H97" s="3">
        <v>44</v>
      </c>
      <c r="I97" s="3">
        <v>56</v>
      </c>
      <c r="K97" s="3">
        <v>28.6</v>
      </c>
      <c r="L97" s="3">
        <v>49</v>
      </c>
      <c r="M97" s="3">
        <v>47</v>
      </c>
      <c r="N97" s="3">
        <v>71</v>
      </c>
      <c r="P97" s="3">
        <v>28.6</v>
      </c>
      <c r="Q97" s="3">
        <v>29</v>
      </c>
      <c r="R97" s="3">
        <v>39</v>
      </c>
      <c r="S97" s="3">
        <v>52</v>
      </c>
      <c r="U97" s="3">
        <v>28.6</v>
      </c>
      <c r="V97" s="3">
        <v>35</v>
      </c>
      <c r="W97" s="3">
        <v>47</v>
      </c>
      <c r="X97" s="3">
        <v>69</v>
      </c>
      <c r="Z97" s="3">
        <v>28.6</v>
      </c>
      <c r="AA97" s="3">
        <v>26</v>
      </c>
      <c r="AB97" s="3">
        <v>54</v>
      </c>
      <c r="AC97" s="3">
        <v>63</v>
      </c>
      <c r="AE97" s="3">
        <v>28.6</v>
      </c>
      <c r="AF97" s="3">
        <v>172</v>
      </c>
      <c r="AG97" s="3">
        <v>240</v>
      </c>
      <c r="AH97" s="3">
        <v>328</v>
      </c>
      <c r="AJ97" s="3">
        <v>28.6</v>
      </c>
      <c r="AK97" s="5">
        <f t="shared" si="6"/>
        <v>36.666666666666664</v>
      </c>
      <c r="AL97" s="5">
        <f t="shared" si="7"/>
        <v>45.833333333333336</v>
      </c>
      <c r="AM97" s="5">
        <f t="shared" si="8"/>
        <v>61.833333333333336</v>
      </c>
      <c r="AO97" s="5">
        <f t="shared" si="11"/>
        <v>37.071428571428569</v>
      </c>
      <c r="AP97" s="5">
        <f t="shared" si="9"/>
        <v>49.071428571428569</v>
      </c>
      <c r="AQ97" s="5">
        <f t="shared" si="10"/>
        <v>61.380952380952372</v>
      </c>
      <c r="BH97" t="s">
        <v>42</v>
      </c>
    </row>
    <row r="98" spans="1:69" x14ac:dyDescent="0.45">
      <c r="A98" s="3">
        <v>28.8</v>
      </c>
      <c r="B98" s="3">
        <v>30</v>
      </c>
      <c r="C98" s="3">
        <v>41</v>
      </c>
      <c r="D98" s="3">
        <v>61</v>
      </c>
      <c r="F98" s="3">
        <v>28.8</v>
      </c>
      <c r="G98" s="3">
        <v>37</v>
      </c>
      <c r="H98" s="3">
        <v>49</v>
      </c>
      <c r="I98" s="3">
        <v>65</v>
      </c>
      <c r="K98" s="3">
        <v>28.8</v>
      </c>
      <c r="L98" s="3">
        <v>53</v>
      </c>
      <c r="M98" s="3">
        <v>56</v>
      </c>
      <c r="N98" s="3">
        <v>67</v>
      </c>
      <c r="P98" s="3">
        <v>28.8</v>
      </c>
      <c r="Q98" s="3">
        <v>30</v>
      </c>
      <c r="R98" s="3">
        <v>60</v>
      </c>
      <c r="S98" s="3">
        <v>46</v>
      </c>
      <c r="U98" s="3">
        <v>28.8</v>
      </c>
      <c r="V98" s="3">
        <v>22</v>
      </c>
      <c r="W98" s="3">
        <v>52</v>
      </c>
      <c r="X98" s="3">
        <v>59</v>
      </c>
      <c r="Z98" s="3">
        <v>28.8</v>
      </c>
      <c r="AA98" s="3">
        <v>32</v>
      </c>
      <c r="AB98" s="3">
        <v>48</v>
      </c>
      <c r="AC98" s="3">
        <v>53</v>
      </c>
      <c r="AE98" s="3">
        <v>28.8</v>
      </c>
      <c r="AF98" s="3">
        <v>194</v>
      </c>
      <c r="AG98" s="3">
        <v>253</v>
      </c>
      <c r="AH98" s="3">
        <v>339</v>
      </c>
      <c r="AJ98" s="3">
        <v>28.8</v>
      </c>
      <c r="AK98" s="5">
        <f t="shared" si="6"/>
        <v>34</v>
      </c>
      <c r="AL98" s="5">
        <f t="shared" si="7"/>
        <v>51</v>
      </c>
      <c r="AM98" s="5">
        <f t="shared" si="8"/>
        <v>58.5</v>
      </c>
      <c r="AO98" s="5">
        <f t="shared" si="11"/>
        <v>36.333333333333336</v>
      </c>
      <c r="AP98" s="5">
        <f t="shared" si="9"/>
        <v>47.857142857142868</v>
      </c>
      <c r="AQ98" s="5">
        <f t="shared" si="10"/>
        <v>59.047619047619051</v>
      </c>
      <c r="BC98" t="s">
        <v>39</v>
      </c>
      <c r="BF98">
        <f>2*BD83*BH90</f>
        <v>3.4834832810982285E-11</v>
      </c>
      <c r="BH98">
        <f>BI90*BG94</f>
        <v>2.0393003022238485E-2</v>
      </c>
      <c r="BN98">
        <f>1/35000</f>
        <v>2.8571428571428571E-5</v>
      </c>
      <c r="BO98">
        <v>3.4834832810982285E-11</v>
      </c>
    </row>
    <row r="99" spans="1:69" x14ac:dyDescent="0.45">
      <c r="A99" s="3">
        <v>29</v>
      </c>
      <c r="B99" s="3">
        <v>44</v>
      </c>
      <c r="C99" s="3">
        <v>35</v>
      </c>
      <c r="D99" s="3">
        <v>55</v>
      </c>
      <c r="F99" s="3">
        <v>29</v>
      </c>
      <c r="G99" s="3">
        <v>37</v>
      </c>
      <c r="H99" s="3">
        <v>45</v>
      </c>
      <c r="I99" s="3">
        <v>56</v>
      </c>
      <c r="K99" s="3">
        <v>29</v>
      </c>
      <c r="L99" s="3">
        <v>29</v>
      </c>
      <c r="M99" s="3">
        <v>49</v>
      </c>
      <c r="N99" s="3">
        <v>59</v>
      </c>
      <c r="P99" s="3">
        <v>29</v>
      </c>
      <c r="Q99" s="3">
        <v>34</v>
      </c>
      <c r="R99" s="3">
        <v>58</v>
      </c>
      <c r="S99" s="3">
        <v>66</v>
      </c>
      <c r="U99" s="3">
        <v>29</v>
      </c>
      <c r="V99" s="3">
        <v>46</v>
      </c>
      <c r="W99" s="3">
        <v>47</v>
      </c>
      <c r="X99" s="3">
        <v>62</v>
      </c>
      <c r="Z99" s="3">
        <v>29</v>
      </c>
      <c r="AA99" s="3">
        <v>41</v>
      </c>
      <c r="AB99" s="3">
        <v>55</v>
      </c>
      <c r="AC99" s="3">
        <v>80</v>
      </c>
      <c r="AE99" s="3">
        <v>29</v>
      </c>
      <c r="AF99" s="3">
        <v>199</v>
      </c>
      <c r="AG99" s="3">
        <v>263</v>
      </c>
      <c r="AH99" s="3">
        <v>300</v>
      </c>
      <c r="AJ99" s="3">
        <v>29</v>
      </c>
      <c r="AK99" s="5">
        <f t="shared" si="6"/>
        <v>38.5</v>
      </c>
      <c r="AL99" s="5">
        <f t="shared" si="7"/>
        <v>48.166666666666664</v>
      </c>
      <c r="AM99" s="5">
        <f t="shared" si="8"/>
        <v>63</v>
      </c>
      <c r="AO99" s="5">
        <f t="shared" si="11"/>
        <v>34.976190476190474</v>
      </c>
      <c r="AP99" s="5">
        <f t="shared" si="9"/>
        <v>47.095238095238095</v>
      </c>
      <c r="AQ99" s="5">
        <f t="shared" si="10"/>
        <v>57.785714285714292</v>
      </c>
      <c r="BC99" t="s">
        <v>40</v>
      </c>
      <c r="BF99">
        <f>2*BD83*BH91</f>
        <v>3.9269747549233037E-11</v>
      </c>
      <c r="BH99">
        <f t="shared" ref="BH99:BH100" si="13">BI91*BG95</f>
        <v>2.9400071320197278E-2</v>
      </c>
      <c r="BN99">
        <f>1/30000</f>
        <v>3.3333333333333335E-5</v>
      </c>
      <c r="BO99">
        <v>3.9269747549233037E-11</v>
      </c>
    </row>
    <row r="100" spans="1:69" x14ac:dyDescent="0.45">
      <c r="A100" s="3">
        <v>29.2</v>
      </c>
      <c r="B100" s="3">
        <v>43</v>
      </c>
      <c r="C100" s="3">
        <v>48</v>
      </c>
      <c r="D100" s="3">
        <v>49</v>
      </c>
      <c r="F100" s="3">
        <v>29.2</v>
      </c>
      <c r="G100" s="3">
        <v>23</v>
      </c>
      <c r="H100" s="3">
        <v>49</v>
      </c>
      <c r="I100" s="3">
        <v>67</v>
      </c>
      <c r="K100" s="3">
        <v>29.2</v>
      </c>
      <c r="L100" s="3">
        <v>46</v>
      </c>
      <c r="M100" s="3">
        <v>54</v>
      </c>
      <c r="N100" s="3">
        <v>75</v>
      </c>
      <c r="P100" s="3">
        <v>29.2</v>
      </c>
      <c r="Q100" s="3">
        <v>40</v>
      </c>
      <c r="R100" s="3">
        <v>30</v>
      </c>
      <c r="S100" s="3">
        <v>40</v>
      </c>
      <c r="U100" s="3">
        <v>29.2</v>
      </c>
      <c r="V100" s="3">
        <v>30</v>
      </c>
      <c r="W100" s="3">
        <v>37</v>
      </c>
      <c r="X100" s="3">
        <v>68</v>
      </c>
      <c r="Z100" s="3">
        <v>29.2</v>
      </c>
      <c r="AA100" s="3">
        <v>39</v>
      </c>
      <c r="AB100" s="3">
        <v>49</v>
      </c>
      <c r="AC100" s="3">
        <v>64</v>
      </c>
      <c r="AE100" s="3">
        <v>29.2</v>
      </c>
      <c r="AF100" s="3">
        <v>173</v>
      </c>
      <c r="AG100" s="3">
        <v>289</v>
      </c>
      <c r="AH100" s="3">
        <v>329</v>
      </c>
      <c r="AJ100" s="3">
        <v>29.2</v>
      </c>
      <c r="AK100" s="5">
        <f t="shared" si="6"/>
        <v>36.833333333333336</v>
      </c>
      <c r="AL100" s="5">
        <f t="shared" si="7"/>
        <v>44.5</v>
      </c>
      <c r="AM100" s="5">
        <f t="shared" si="8"/>
        <v>60.5</v>
      </c>
      <c r="AO100" s="5">
        <f t="shared" si="11"/>
        <v>34.61904761904762</v>
      </c>
      <c r="AP100" s="5">
        <f t="shared" si="9"/>
        <v>46.428571428571431</v>
      </c>
      <c r="AQ100" s="5">
        <f t="shared" si="10"/>
        <v>58.595238095238109</v>
      </c>
      <c r="BC100" t="s">
        <v>41</v>
      </c>
      <c r="BF100">
        <f>2*BD83*BH92</f>
        <v>4.7417193380978334E-11</v>
      </c>
      <c r="BH100">
        <f t="shared" si="13"/>
        <v>3.6122189439201473E-2</v>
      </c>
      <c r="BL100" t="s">
        <v>47</v>
      </c>
      <c r="BN100">
        <f>1/25000</f>
        <v>4.0000000000000003E-5</v>
      </c>
      <c r="BO100">
        <v>4.7417193380978334E-11</v>
      </c>
    </row>
    <row r="101" spans="1:69" x14ac:dyDescent="0.45">
      <c r="A101" s="3">
        <v>29.4</v>
      </c>
      <c r="B101" s="3">
        <v>42</v>
      </c>
      <c r="C101" s="3">
        <v>41</v>
      </c>
      <c r="D101" s="3">
        <v>53</v>
      </c>
      <c r="F101" s="3">
        <v>29.4</v>
      </c>
      <c r="G101" s="3">
        <v>35</v>
      </c>
      <c r="H101" s="3">
        <v>40</v>
      </c>
      <c r="I101" s="3">
        <v>56</v>
      </c>
      <c r="K101" s="3">
        <v>29.4</v>
      </c>
      <c r="L101" s="3">
        <v>29</v>
      </c>
      <c r="M101" s="3">
        <v>42</v>
      </c>
      <c r="N101" s="3">
        <v>45</v>
      </c>
      <c r="P101" s="3">
        <v>29.4</v>
      </c>
      <c r="Q101" s="3">
        <v>33</v>
      </c>
      <c r="R101" s="3">
        <v>49</v>
      </c>
      <c r="S101" s="3">
        <v>49</v>
      </c>
      <c r="U101" s="3">
        <v>29.4</v>
      </c>
      <c r="V101" s="3">
        <v>44</v>
      </c>
      <c r="W101" s="3">
        <v>42</v>
      </c>
      <c r="X101" s="3">
        <v>56</v>
      </c>
      <c r="Z101" s="3">
        <v>29.4</v>
      </c>
      <c r="AA101" s="3">
        <v>21</v>
      </c>
      <c r="AB101" s="3">
        <v>48</v>
      </c>
      <c r="AC101" s="3">
        <v>59</v>
      </c>
      <c r="AE101" s="3">
        <v>29.4</v>
      </c>
      <c r="AF101" s="3">
        <v>167</v>
      </c>
      <c r="AG101" s="3">
        <v>267</v>
      </c>
      <c r="AH101" s="3">
        <v>281</v>
      </c>
      <c r="AJ101" s="3">
        <v>29.4</v>
      </c>
      <c r="AK101" s="5">
        <f t="shared" si="6"/>
        <v>34</v>
      </c>
      <c r="AL101" s="5">
        <f t="shared" si="7"/>
        <v>43.666666666666664</v>
      </c>
      <c r="AM101" s="5">
        <f t="shared" si="8"/>
        <v>53</v>
      </c>
      <c r="AO101" s="5">
        <f t="shared" si="11"/>
        <v>34.595238095238095</v>
      </c>
      <c r="AP101" s="5">
        <f t="shared" si="9"/>
        <v>45.785714285714278</v>
      </c>
      <c r="AQ101" s="5">
        <f t="shared" si="10"/>
        <v>57.404761904761912</v>
      </c>
      <c r="BH101" t="s">
        <v>46</v>
      </c>
      <c r="BL101">
        <f>6.626*10^-34</f>
        <v>6.6260000000000015E-34</v>
      </c>
    </row>
    <row r="102" spans="1:69" x14ac:dyDescent="0.45">
      <c r="A102" s="3">
        <v>29.6</v>
      </c>
      <c r="B102" s="3">
        <v>30</v>
      </c>
      <c r="C102" s="3">
        <v>46</v>
      </c>
      <c r="D102" s="3">
        <v>56</v>
      </c>
      <c r="F102" s="3">
        <v>29.6</v>
      </c>
      <c r="G102" s="3">
        <v>34</v>
      </c>
      <c r="H102" s="3">
        <v>34</v>
      </c>
      <c r="I102" s="3">
        <v>58</v>
      </c>
      <c r="K102" s="3">
        <v>29.6</v>
      </c>
      <c r="L102" s="3">
        <v>21</v>
      </c>
      <c r="M102" s="3">
        <v>56</v>
      </c>
      <c r="N102" s="3">
        <v>53</v>
      </c>
      <c r="P102" s="3">
        <v>29.6</v>
      </c>
      <c r="Q102" s="3">
        <v>27</v>
      </c>
      <c r="R102" s="3">
        <v>33</v>
      </c>
      <c r="S102" s="3">
        <v>48</v>
      </c>
      <c r="U102" s="3">
        <v>29.6</v>
      </c>
      <c r="V102" s="3">
        <v>33</v>
      </c>
      <c r="W102" s="3">
        <v>49</v>
      </c>
      <c r="X102" s="3">
        <v>53</v>
      </c>
      <c r="Z102" s="3">
        <v>29.6</v>
      </c>
      <c r="AA102" s="3">
        <v>31</v>
      </c>
      <c r="AB102" s="3">
        <v>50</v>
      </c>
      <c r="AC102" s="3">
        <v>69</v>
      </c>
      <c r="AE102" s="3">
        <v>29.6</v>
      </c>
      <c r="AF102" s="3">
        <v>188</v>
      </c>
      <c r="AG102" s="3">
        <v>240</v>
      </c>
      <c r="AH102" s="3">
        <v>284</v>
      </c>
      <c r="AJ102" s="3">
        <v>29.6</v>
      </c>
      <c r="AK102" s="5">
        <f t="shared" si="6"/>
        <v>29.333333333333332</v>
      </c>
      <c r="AL102" s="5">
        <f t="shared" si="7"/>
        <v>44.666666666666664</v>
      </c>
      <c r="AM102" s="5">
        <f t="shared" si="8"/>
        <v>56.166666666666664</v>
      </c>
      <c r="AO102" s="5">
        <f t="shared" si="11"/>
        <v>34.761904761904766</v>
      </c>
      <c r="AP102" s="5">
        <f t="shared" si="9"/>
        <v>44.738095238095234</v>
      </c>
      <c r="AQ102" s="5">
        <f t="shared" si="10"/>
        <v>56.071428571428569</v>
      </c>
      <c r="BC102" t="s">
        <v>43</v>
      </c>
      <c r="BF102">
        <f>(BF98*1.602*0.0000000000000000001*35000)/299792458</f>
        <v>6.5151374679071379E-34</v>
      </c>
      <c r="BH102">
        <f>BF102*BH98</f>
        <v>1.3286321807332947E-35</v>
      </c>
      <c r="BI102">
        <f>BH102/10^-34</f>
        <v>0.13286321807332946</v>
      </c>
      <c r="BL102">
        <f>1-(BF102/BL101)</f>
        <v>1.6731441607736763E-2</v>
      </c>
    </row>
    <row r="103" spans="1:69" x14ac:dyDescent="0.45">
      <c r="A103" s="3">
        <v>29.8</v>
      </c>
      <c r="B103" s="3">
        <v>26</v>
      </c>
      <c r="C103" s="3">
        <v>55</v>
      </c>
      <c r="D103" s="3">
        <v>50</v>
      </c>
      <c r="F103" s="3">
        <v>29.8</v>
      </c>
      <c r="G103" s="3">
        <v>22</v>
      </c>
      <c r="H103" s="3">
        <v>41</v>
      </c>
      <c r="I103" s="3">
        <v>55</v>
      </c>
      <c r="K103" s="3">
        <v>29.8</v>
      </c>
      <c r="L103" s="3">
        <v>48</v>
      </c>
      <c r="M103" s="3">
        <v>46</v>
      </c>
      <c r="N103" s="3">
        <v>57</v>
      </c>
      <c r="P103" s="3">
        <v>29.8</v>
      </c>
      <c r="Q103" s="3">
        <v>38</v>
      </c>
      <c r="R103" s="3">
        <v>47</v>
      </c>
      <c r="S103" s="3">
        <v>57</v>
      </c>
      <c r="U103" s="3">
        <v>29.8</v>
      </c>
      <c r="V103" s="3">
        <v>33</v>
      </c>
      <c r="W103" s="3">
        <v>49</v>
      </c>
      <c r="X103" s="3">
        <v>53</v>
      </c>
      <c r="Z103" s="3">
        <v>29.8</v>
      </c>
      <c r="AA103" s="3">
        <v>31</v>
      </c>
      <c r="AB103" s="3">
        <v>45</v>
      </c>
      <c r="AC103" s="3">
        <v>71</v>
      </c>
      <c r="AE103" s="3">
        <v>29.8</v>
      </c>
      <c r="AF103" s="3">
        <v>168</v>
      </c>
      <c r="AG103" s="3">
        <v>240</v>
      </c>
      <c r="AH103" s="3">
        <v>302</v>
      </c>
      <c r="AJ103" s="3">
        <v>29.8</v>
      </c>
      <c r="AK103" s="5">
        <f t="shared" si="6"/>
        <v>33</v>
      </c>
      <c r="AL103" s="5">
        <f t="shared" si="7"/>
        <v>47.166666666666664</v>
      </c>
      <c r="AM103" s="5">
        <f t="shared" si="8"/>
        <v>57.166666666666664</v>
      </c>
      <c r="AO103" s="5">
        <f t="shared" si="11"/>
        <v>33.69047619047619</v>
      </c>
      <c r="AP103" s="5">
        <f t="shared" si="9"/>
        <v>44.523809523809526</v>
      </c>
      <c r="AQ103" s="5">
        <f t="shared" si="10"/>
        <v>54.785714285714285</v>
      </c>
      <c r="BC103" t="s">
        <v>44</v>
      </c>
      <c r="BF103">
        <f>(BF99*1.602*0.0000000000000000001*30000)/299792458</f>
        <v>6.2953687354474413E-34</v>
      </c>
      <c r="BH103">
        <f>BF103*BH99</f>
        <v>1.8508428980909492E-35</v>
      </c>
      <c r="BI103">
        <f t="shared" ref="BI103:BI104" si="14">BH103/10^-34</f>
        <v>0.18508428980909489</v>
      </c>
      <c r="BL103">
        <f>1-(BF103/BL101)</f>
        <v>4.9899074034494451E-2</v>
      </c>
    </row>
    <row r="104" spans="1:69" x14ac:dyDescent="0.45">
      <c r="A104" s="3">
        <v>30</v>
      </c>
      <c r="B104" s="3">
        <v>30</v>
      </c>
      <c r="C104" s="3">
        <v>40</v>
      </c>
      <c r="D104" s="3">
        <v>49</v>
      </c>
      <c r="F104" s="3">
        <v>30</v>
      </c>
      <c r="G104" s="3">
        <v>42</v>
      </c>
      <c r="H104" s="3">
        <v>42</v>
      </c>
      <c r="I104" s="3">
        <v>46</v>
      </c>
      <c r="K104" s="3">
        <v>30</v>
      </c>
      <c r="L104" s="3">
        <v>40</v>
      </c>
      <c r="M104" s="3">
        <v>39</v>
      </c>
      <c r="N104" s="3">
        <v>66</v>
      </c>
      <c r="P104" s="3">
        <v>30</v>
      </c>
      <c r="Q104" s="3">
        <v>35</v>
      </c>
      <c r="R104" s="3">
        <v>37</v>
      </c>
      <c r="S104" s="3">
        <v>61</v>
      </c>
      <c r="U104" s="3">
        <v>30</v>
      </c>
      <c r="V104" s="3">
        <v>30</v>
      </c>
      <c r="W104" s="3">
        <v>42</v>
      </c>
      <c r="X104" s="3">
        <v>49</v>
      </c>
      <c r="Z104" s="3">
        <v>30</v>
      </c>
      <c r="AA104" s="3">
        <v>42</v>
      </c>
      <c r="AB104" s="3">
        <v>48</v>
      </c>
      <c r="AC104" s="3">
        <v>50</v>
      </c>
      <c r="AE104" s="3">
        <v>30</v>
      </c>
      <c r="AF104" s="3">
        <v>183</v>
      </c>
      <c r="AG104" s="3">
        <v>229</v>
      </c>
      <c r="AH104" s="3">
        <v>290</v>
      </c>
      <c r="AJ104" s="3">
        <v>30</v>
      </c>
      <c r="AK104" s="5">
        <f t="shared" si="6"/>
        <v>36.5</v>
      </c>
      <c r="AL104" s="5">
        <f t="shared" si="7"/>
        <v>41.333333333333336</v>
      </c>
      <c r="AM104" s="5">
        <f t="shared" si="8"/>
        <v>53.5</v>
      </c>
      <c r="AO104" s="5">
        <f t="shared" si="11"/>
        <v>32.261904761904759</v>
      </c>
      <c r="AP104" s="5">
        <f t="shared" si="9"/>
        <v>43.428571428571431</v>
      </c>
      <c r="AQ104" s="5">
        <f t="shared" si="10"/>
        <v>53.357142857142854</v>
      </c>
      <c r="BC104" t="s">
        <v>45</v>
      </c>
      <c r="BF104">
        <f>(BF100*1.602*0.0000000000000000001*25000)/299792458</f>
        <v>6.334577619388218E-34</v>
      </c>
      <c r="BH104">
        <f>BF104*BH100</f>
        <v>2.288188127848671E-35</v>
      </c>
      <c r="BI104">
        <f t="shared" si="14"/>
        <v>0.22881881278486707</v>
      </c>
      <c r="BL104">
        <f>1-(BF104/BL101)</f>
        <v>4.3981645127042501E-2</v>
      </c>
    </row>
    <row r="105" spans="1:69" x14ac:dyDescent="0.45">
      <c r="A105" s="3">
        <v>30.2</v>
      </c>
      <c r="B105" s="3">
        <v>44</v>
      </c>
      <c r="C105" s="3">
        <v>40</v>
      </c>
      <c r="D105" s="3">
        <v>42</v>
      </c>
      <c r="F105" s="3">
        <v>30.2</v>
      </c>
      <c r="G105" s="3">
        <v>42</v>
      </c>
      <c r="H105" s="3">
        <v>42</v>
      </c>
      <c r="I105" s="3">
        <v>55</v>
      </c>
      <c r="K105" s="3">
        <v>30.2</v>
      </c>
      <c r="L105" s="3">
        <v>36</v>
      </c>
      <c r="M105" s="3">
        <v>42</v>
      </c>
      <c r="N105" s="3">
        <v>57</v>
      </c>
      <c r="P105" s="3">
        <v>30.2</v>
      </c>
      <c r="Q105" s="3">
        <v>32</v>
      </c>
      <c r="R105" s="3">
        <v>39</v>
      </c>
      <c r="S105" s="3">
        <v>54</v>
      </c>
      <c r="U105" s="3">
        <v>30.2</v>
      </c>
      <c r="V105" s="3">
        <v>27</v>
      </c>
      <c r="W105" s="3">
        <v>50</v>
      </c>
      <c r="X105" s="3">
        <v>40</v>
      </c>
      <c r="Z105" s="3">
        <v>30.2</v>
      </c>
      <c r="AA105" s="3">
        <v>30</v>
      </c>
      <c r="AB105" s="3">
        <v>49</v>
      </c>
      <c r="AC105" s="3">
        <v>47</v>
      </c>
      <c r="AE105" s="3">
        <v>30.2</v>
      </c>
      <c r="AF105" s="3">
        <v>178</v>
      </c>
      <c r="AG105" s="3">
        <v>245</v>
      </c>
      <c r="AH105" s="3">
        <v>279</v>
      </c>
      <c r="AJ105" s="3">
        <v>30.2</v>
      </c>
      <c r="AK105" s="5">
        <f t="shared" si="6"/>
        <v>35.166666666666664</v>
      </c>
      <c r="AL105" s="5">
        <f t="shared" si="7"/>
        <v>43.666666666666664</v>
      </c>
      <c r="AM105" s="5">
        <f t="shared" si="8"/>
        <v>49.166666666666664</v>
      </c>
      <c r="AO105" s="5">
        <f t="shared" si="11"/>
        <v>31.880952380952383</v>
      </c>
      <c r="AP105" s="5">
        <f t="shared" si="9"/>
        <v>43.428571428571431</v>
      </c>
      <c r="AQ105" s="5">
        <f t="shared" si="10"/>
        <v>52.119047619047613</v>
      </c>
    </row>
    <row r="106" spans="1:69" x14ac:dyDescent="0.45">
      <c r="A106" s="3">
        <v>30.4</v>
      </c>
      <c r="B106" s="3">
        <v>29</v>
      </c>
      <c r="C106" s="3">
        <v>46</v>
      </c>
      <c r="D106" s="3">
        <v>59</v>
      </c>
      <c r="F106" s="3">
        <v>30.4</v>
      </c>
      <c r="G106" s="3">
        <v>35</v>
      </c>
      <c r="H106" s="3">
        <v>39</v>
      </c>
      <c r="I106" s="3">
        <v>67</v>
      </c>
      <c r="K106" s="3">
        <v>30.4</v>
      </c>
      <c r="L106" s="3">
        <v>34</v>
      </c>
      <c r="M106" s="3">
        <v>52</v>
      </c>
      <c r="N106" s="3">
        <v>48</v>
      </c>
      <c r="P106" s="3">
        <v>30.4</v>
      </c>
      <c r="Q106" s="3">
        <v>28</v>
      </c>
      <c r="R106" s="3">
        <v>39</v>
      </c>
      <c r="S106" s="3">
        <v>47</v>
      </c>
      <c r="U106" s="3">
        <v>30.4</v>
      </c>
      <c r="V106" s="3">
        <v>34</v>
      </c>
      <c r="W106" s="3">
        <v>48</v>
      </c>
      <c r="X106" s="3">
        <v>48</v>
      </c>
      <c r="Z106" s="3">
        <v>30.4</v>
      </c>
      <c r="AA106" s="3">
        <v>26</v>
      </c>
      <c r="AB106" s="3">
        <v>56</v>
      </c>
      <c r="AC106" s="3">
        <v>55</v>
      </c>
      <c r="AE106" s="3">
        <v>30.4</v>
      </c>
      <c r="AF106" s="3">
        <v>181</v>
      </c>
      <c r="AG106" s="3">
        <v>228</v>
      </c>
      <c r="AH106" s="3">
        <v>296</v>
      </c>
      <c r="AJ106" s="3">
        <v>30.4</v>
      </c>
      <c r="AK106" s="5">
        <f t="shared" si="6"/>
        <v>31</v>
      </c>
      <c r="AL106" s="5">
        <f t="shared" si="7"/>
        <v>46.666666666666664</v>
      </c>
      <c r="AM106" s="5">
        <f t="shared" si="8"/>
        <v>54</v>
      </c>
      <c r="AO106" s="5">
        <f t="shared" si="11"/>
        <v>32.333333333333336</v>
      </c>
      <c r="AP106" s="5">
        <f t="shared" si="9"/>
        <v>42.19047619047619</v>
      </c>
      <c r="AQ106" s="5">
        <f t="shared" si="10"/>
        <v>50.880952380952372</v>
      </c>
      <c r="BF106">
        <f>AVERAGE(BF102:BF104)</f>
        <v>6.3816946075809321E-34</v>
      </c>
    </row>
    <row r="107" spans="1:69" x14ac:dyDescent="0.45">
      <c r="A107" s="3">
        <v>30.6</v>
      </c>
      <c r="B107" s="3">
        <v>21</v>
      </c>
      <c r="C107" s="3">
        <v>37</v>
      </c>
      <c r="D107" s="3">
        <v>57</v>
      </c>
      <c r="F107" s="3">
        <v>30.6</v>
      </c>
      <c r="G107" s="3">
        <v>35</v>
      </c>
      <c r="H107" s="3">
        <v>30</v>
      </c>
      <c r="I107" s="3">
        <v>48</v>
      </c>
      <c r="K107" s="3">
        <v>30.6</v>
      </c>
      <c r="L107" s="3">
        <v>30</v>
      </c>
      <c r="M107" s="3">
        <v>35</v>
      </c>
      <c r="N107" s="3">
        <v>43</v>
      </c>
      <c r="P107" s="3">
        <v>30.6</v>
      </c>
      <c r="Q107" s="3">
        <v>20</v>
      </c>
      <c r="R107" s="3">
        <v>44</v>
      </c>
      <c r="S107" s="3">
        <v>49</v>
      </c>
      <c r="U107" s="3">
        <v>30.6</v>
      </c>
      <c r="V107" s="3">
        <v>30</v>
      </c>
      <c r="W107" s="3">
        <v>36</v>
      </c>
      <c r="X107" s="3">
        <v>58</v>
      </c>
      <c r="Z107" s="3">
        <v>30.6</v>
      </c>
      <c r="AA107" s="3">
        <v>25</v>
      </c>
      <c r="AB107" s="3">
        <v>39</v>
      </c>
      <c r="AC107" s="3">
        <v>48</v>
      </c>
      <c r="AE107" s="3">
        <v>30.6</v>
      </c>
      <c r="AF107" s="3">
        <v>199</v>
      </c>
      <c r="AG107" s="3">
        <v>213</v>
      </c>
      <c r="AH107" s="3">
        <v>268</v>
      </c>
      <c r="AJ107" s="3">
        <v>30.6</v>
      </c>
      <c r="AK107" s="5">
        <f t="shared" si="6"/>
        <v>26.833333333333332</v>
      </c>
      <c r="AL107" s="5">
        <f t="shared" si="7"/>
        <v>36.833333333333336</v>
      </c>
      <c r="AM107" s="5">
        <f t="shared" si="8"/>
        <v>50.5</v>
      </c>
      <c r="AO107" s="5">
        <f t="shared" si="11"/>
        <v>31.928571428571427</v>
      </c>
      <c r="AP107" s="5">
        <f t="shared" si="9"/>
        <v>40.69047619047619</v>
      </c>
      <c r="AQ107" s="5">
        <f t="shared" si="10"/>
        <v>49.857142857142854</v>
      </c>
    </row>
    <row r="108" spans="1:69" x14ac:dyDescent="0.45">
      <c r="A108" s="3">
        <v>30.8</v>
      </c>
      <c r="B108" s="3">
        <v>30</v>
      </c>
      <c r="C108" s="3">
        <v>43</v>
      </c>
      <c r="D108" s="3">
        <v>55</v>
      </c>
      <c r="F108" s="3">
        <v>30.8</v>
      </c>
      <c r="G108" s="3">
        <v>30</v>
      </c>
      <c r="H108" s="3">
        <v>38</v>
      </c>
      <c r="I108" s="3">
        <v>51</v>
      </c>
      <c r="K108" s="3">
        <v>30.8</v>
      </c>
      <c r="L108" s="3">
        <v>35</v>
      </c>
      <c r="M108" s="3">
        <v>43</v>
      </c>
      <c r="N108" s="3">
        <v>36</v>
      </c>
      <c r="P108" s="3">
        <v>30.8</v>
      </c>
      <c r="Q108" s="3">
        <v>28</v>
      </c>
      <c r="R108" s="3">
        <v>51</v>
      </c>
      <c r="S108" s="3">
        <v>45</v>
      </c>
      <c r="U108" s="3">
        <v>30.8</v>
      </c>
      <c r="V108" s="3">
        <v>29</v>
      </c>
      <c r="W108" s="3">
        <v>40</v>
      </c>
      <c r="X108" s="3">
        <v>33</v>
      </c>
      <c r="Z108" s="3">
        <v>30.8</v>
      </c>
      <c r="AA108" s="3">
        <v>36</v>
      </c>
      <c r="AB108" s="3">
        <v>47</v>
      </c>
      <c r="AC108" s="3">
        <v>46</v>
      </c>
      <c r="AE108" s="3">
        <v>30.8</v>
      </c>
      <c r="AF108" s="3">
        <v>162</v>
      </c>
      <c r="AG108" s="3">
        <v>226</v>
      </c>
      <c r="AH108" s="3">
        <v>271</v>
      </c>
      <c r="AJ108" s="3">
        <v>30.8</v>
      </c>
      <c r="AK108" s="5">
        <f t="shared" si="6"/>
        <v>31.333333333333332</v>
      </c>
      <c r="AL108" s="5">
        <f t="shared" si="7"/>
        <v>43.666666666666664</v>
      </c>
      <c r="AM108" s="5">
        <f t="shared" si="8"/>
        <v>44.333333333333336</v>
      </c>
      <c r="AO108" s="5">
        <f t="shared" si="11"/>
        <v>31.523809523809518</v>
      </c>
      <c r="AP108" s="5">
        <f t="shared" si="9"/>
        <v>40.261904761904759</v>
      </c>
      <c r="AQ108" s="5">
        <f t="shared" si="10"/>
        <v>49.642857142857146</v>
      </c>
    </row>
    <row r="109" spans="1:69" x14ac:dyDescent="0.45">
      <c r="A109" s="3">
        <v>31</v>
      </c>
      <c r="B109" s="3">
        <v>39</v>
      </c>
      <c r="C109" s="3">
        <v>37</v>
      </c>
      <c r="D109" s="3">
        <v>45</v>
      </c>
      <c r="F109" s="3">
        <v>31</v>
      </c>
      <c r="G109" s="3">
        <v>32</v>
      </c>
      <c r="H109" s="3">
        <v>31</v>
      </c>
      <c r="I109" s="3">
        <v>53</v>
      </c>
      <c r="K109" s="3">
        <v>31</v>
      </c>
      <c r="L109" s="3">
        <v>34</v>
      </c>
      <c r="M109" s="3">
        <v>39</v>
      </c>
      <c r="N109" s="3">
        <v>40</v>
      </c>
      <c r="P109" s="3">
        <v>31</v>
      </c>
      <c r="Q109" s="3">
        <v>30</v>
      </c>
      <c r="R109" s="3">
        <v>33</v>
      </c>
      <c r="S109" s="3">
        <v>36</v>
      </c>
      <c r="U109" s="3">
        <v>31</v>
      </c>
      <c r="V109" s="3">
        <v>27</v>
      </c>
      <c r="W109" s="3">
        <v>36</v>
      </c>
      <c r="X109" s="3">
        <v>51</v>
      </c>
      <c r="Z109" s="3">
        <v>31</v>
      </c>
      <c r="AA109" s="3">
        <v>33</v>
      </c>
      <c r="AB109" s="3">
        <v>40</v>
      </c>
      <c r="AC109" s="3">
        <v>60</v>
      </c>
      <c r="AE109" s="3">
        <v>31</v>
      </c>
      <c r="AF109" s="3">
        <v>185</v>
      </c>
      <c r="AG109" s="3">
        <v>219</v>
      </c>
      <c r="AH109" s="3">
        <v>270</v>
      </c>
      <c r="AJ109" s="3">
        <v>31</v>
      </c>
      <c r="AK109" s="5">
        <f t="shared" si="6"/>
        <v>32.5</v>
      </c>
      <c r="AL109" s="5">
        <f t="shared" si="7"/>
        <v>36</v>
      </c>
      <c r="AM109" s="5">
        <f t="shared" si="8"/>
        <v>47.5</v>
      </c>
      <c r="AO109" s="5">
        <f t="shared" si="11"/>
        <v>30.690476190476186</v>
      </c>
      <c r="AP109" s="5">
        <f t="shared" si="9"/>
        <v>38.904761904761905</v>
      </c>
      <c r="AQ109" s="5">
        <f t="shared" si="10"/>
        <v>48.833333333333336</v>
      </c>
      <c r="BQ109">
        <f>5.956*0.027</f>
        <v>0.16081200000000001</v>
      </c>
    </row>
    <row r="110" spans="1:69" x14ac:dyDescent="0.45">
      <c r="A110" s="3">
        <v>31.2</v>
      </c>
      <c r="B110" s="3">
        <v>27</v>
      </c>
      <c r="C110" s="3">
        <v>37</v>
      </c>
      <c r="D110" s="3">
        <v>36</v>
      </c>
      <c r="F110" s="3">
        <v>31.2</v>
      </c>
      <c r="G110" s="3">
        <v>29</v>
      </c>
      <c r="H110" s="3">
        <v>36</v>
      </c>
      <c r="I110" s="3">
        <v>53</v>
      </c>
      <c r="K110" s="3">
        <v>31.2</v>
      </c>
      <c r="L110" s="3">
        <v>38</v>
      </c>
      <c r="M110" s="3">
        <v>43</v>
      </c>
      <c r="N110" s="3">
        <v>47</v>
      </c>
      <c r="P110" s="3">
        <v>31.2</v>
      </c>
      <c r="Q110" s="3">
        <v>29</v>
      </c>
      <c r="R110" s="3">
        <v>32</v>
      </c>
      <c r="S110" s="3">
        <v>54</v>
      </c>
      <c r="U110" s="3">
        <v>31.2</v>
      </c>
      <c r="V110" s="3">
        <v>25</v>
      </c>
      <c r="W110" s="3">
        <v>35</v>
      </c>
      <c r="X110" s="3">
        <v>46</v>
      </c>
      <c r="Z110" s="3">
        <v>31.2</v>
      </c>
      <c r="AA110" s="3">
        <v>33</v>
      </c>
      <c r="AB110" s="3">
        <v>37</v>
      </c>
      <c r="AC110" s="3">
        <v>64</v>
      </c>
      <c r="AE110" s="3">
        <v>31.2</v>
      </c>
      <c r="AF110" s="3">
        <v>161</v>
      </c>
      <c r="AG110" s="3">
        <v>223</v>
      </c>
      <c r="AH110" s="3">
        <v>281</v>
      </c>
      <c r="AJ110" s="3">
        <v>31.2</v>
      </c>
      <c r="AK110" s="5">
        <f t="shared" si="6"/>
        <v>30.166666666666668</v>
      </c>
      <c r="AL110" s="5">
        <f t="shared" si="7"/>
        <v>36.666666666666664</v>
      </c>
      <c r="AM110" s="5">
        <f t="shared" si="8"/>
        <v>50</v>
      </c>
      <c r="AO110" s="5">
        <f t="shared" si="11"/>
        <v>30.404761904761905</v>
      </c>
      <c r="AP110" s="5">
        <f t="shared" si="9"/>
        <v>38.142857142857146</v>
      </c>
      <c r="AQ110" s="5">
        <f t="shared" si="10"/>
        <v>47.190476190476197</v>
      </c>
    </row>
    <row r="111" spans="1:69" x14ac:dyDescent="0.45">
      <c r="A111" s="3">
        <v>31.4</v>
      </c>
      <c r="B111" s="3">
        <v>20</v>
      </c>
      <c r="C111" s="3">
        <v>38</v>
      </c>
      <c r="D111" s="3">
        <v>53</v>
      </c>
      <c r="F111" s="3">
        <v>31.4</v>
      </c>
      <c r="G111" s="3">
        <v>43</v>
      </c>
      <c r="H111" s="3">
        <v>43</v>
      </c>
      <c r="I111" s="3">
        <v>44</v>
      </c>
      <c r="K111" s="3">
        <v>31.4</v>
      </c>
      <c r="L111" s="3">
        <v>39</v>
      </c>
      <c r="M111" s="3">
        <v>40</v>
      </c>
      <c r="N111" s="3">
        <v>55</v>
      </c>
      <c r="P111" s="3">
        <v>31.4</v>
      </c>
      <c r="Q111" s="3">
        <v>29</v>
      </c>
      <c r="R111" s="3">
        <v>36</v>
      </c>
      <c r="S111" s="3">
        <v>50</v>
      </c>
      <c r="U111" s="3">
        <v>31.4</v>
      </c>
      <c r="V111" s="3">
        <v>40</v>
      </c>
      <c r="W111" s="3">
        <v>29</v>
      </c>
      <c r="X111" s="3">
        <v>55</v>
      </c>
      <c r="Z111" s="3">
        <v>31.4</v>
      </c>
      <c r="AA111" s="3">
        <v>31</v>
      </c>
      <c r="AB111" s="3">
        <v>44</v>
      </c>
      <c r="AC111" s="3">
        <v>55</v>
      </c>
      <c r="AE111" s="3">
        <v>31.4</v>
      </c>
      <c r="AF111" s="3">
        <v>194</v>
      </c>
      <c r="AG111" s="3">
        <v>212</v>
      </c>
      <c r="AH111" s="3">
        <v>267</v>
      </c>
      <c r="AJ111" s="3">
        <v>31.4</v>
      </c>
      <c r="AK111" s="5">
        <f t="shared" si="6"/>
        <v>33.666666666666664</v>
      </c>
      <c r="AL111" s="5">
        <f t="shared" si="7"/>
        <v>38.333333333333336</v>
      </c>
      <c r="AM111" s="5">
        <f t="shared" si="8"/>
        <v>52</v>
      </c>
      <c r="AO111" s="5">
        <f t="shared" si="11"/>
        <v>30.309523809523807</v>
      </c>
      <c r="AP111" s="5">
        <f t="shared" si="9"/>
        <v>37.904761904761905</v>
      </c>
      <c r="AQ111" s="5">
        <f t="shared" si="10"/>
        <v>46.476190476190482</v>
      </c>
    </row>
    <row r="112" spans="1:69" x14ac:dyDescent="0.45">
      <c r="A112" s="3">
        <v>31.6</v>
      </c>
      <c r="B112" s="3">
        <v>32</v>
      </c>
      <c r="C112" s="3">
        <v>36</v>
      </c>
      <c r="D112" s="3">
        <v>46</v>
      </c>
      <c r="F112" s="3">
        <v>31.6</v>
      </c>
      <c r="G112" s="3">
        <v>29</v>
      </c>
      <c r="H112" s="3">
        <v>41</v>
      </c>
      <c r="I112" s="3">
        <v>51</v>
      </c>
      <c r="K112" s="3">
        <v>31.6</v>
      </c>
      <c r="L112" s="3">
        <v>21</v>
      </c>
      <c r="M112" s="3">
        <v>29</v>
      </c>
      <c r="N112" s="3">
        <v>36</v>
      </c>
      <c r="P112" s="3">
        <v>31.6</v>
      </c>
      <c r="Q112" s="3">
        <v>34</v>
      </c>
      <c r="R112" s="3">
        <v>32</v>
      </c>
      <c r="S112" s="3">
        <v>38</v>
      </c>
      <c r="U112" s="3">
        <v>31.6</v>
      </c>
      <c r="V112" s="3">
        <v>27</v>
      </c>
      <c r="W112" s="3">
        <v>29</v>
      </c>
      <c r="X112" s="3">
        <v>42</v>
      </c>
      <c r="Z112" s="3">
        <v>31.6</v>
      </c>
      <c r="AA112" s="3">
        <v>33</v>
      </c>
      <c r="AB112" s="3">
        <v>38</v>
      </c>
      <c r="AC112" s="3">
        <v>48</v>
      </c>
      <c r="AE112" s="3">
        <v>31.6</v>
      </c>
      <c r="AF112" s="3">
        <v>166</v>
      </c>
      <c r="AG112" s="3">
        <v>210</v>
      </c>
      <c r="AH112" s="3">
        <v>236</v>
      </c>
      <c r="AJ112" s="3">
        <v>31.6</v>
      </c>
      <c r="AK112" s="5">
        <f t="shared" si="6"/>
        <v>29.333333333333332</v>
      </c>
      <c r="AL112" s="5">
        <f t="shared" si="7"/>
        <v>34.166666666666664</v>
      </c>
      <c r="AM112" s="5">
        <f t="shared" si="8"/>
        <v>43.5</v>
      </c>
      <c r="AO112" s="5">
        <f t="shared" si="11"/>
        <v>29.428571428571427</v>
      </c>
      <c r="AP112" s="5">
        <f t="shared" si="9"/>
        <v>36.738095238095234</v>
      </c>
      <c r="AQ112" s="5">
        <f t="shared" si="10"/>
        <v>46.976190476190474</v>
      </c>
    </row>
    <row r="113" spans="1:43" x14ac:dyDescent="0.45">
      <c r="A113" s="3">
        <v>31.8</v>
      </c>
      <c r="B113" s="3">
        <v>26</v>
      </c>
      <c r="C113" s="3">
        <v>43</v>
      </c>
      <c r="D113" s="3">
        <v>50</v>
      </c>
      <c r="F113" s="3">
        <v>31.8</v>
      </c>
      <c r="G113" s="3">
        <v>23</v>
      </c>
      <c r="H113" s="3">
        <v>47</v>
      </c>
      <c r="I113" s="3">
        <v>33</v>
      </c>
      <c r="K113" s="3">
        <v>31.8</v>
      </c>
      <c r="L113" s="3">
        <v>35</v>
      </c>
      <c r="M113" s="3">
        <v>41</v>
      </c>
      <c r="N113" s="3">
        <v>33</v>
      </c>
      <c r="P113" s="3">
        <v>31.8</v>
      </c>
      <c r="Q113" s="3">
        <v>34</v>
      </c>
      <c r="R113" s="3">
        <v>34</v>
      </c>
      <c r="S113" s="3">
        <v>44</v>
      </c>
      <c r="U113" s="3">
        <v>31.8</v>
      </c>
      <c r="V113" s="3">
        <v>34</v>
      </c>
      <c r="W113" s="3">
        <v>45</v>
      </c>
      <c r="X113" s="3">
        <v>43</v>
      </c>
      <c r="Z113" s="3">
        <v>31.8</v>
      </c>
      <c r="AA113" s="3">
        <v>22</v>
      </c>
      <c r="AB113" s="3">
        <v>38</v>
      </c>
      <c r="AC113" s="3">
        <v>52</v>
      </c>
      <c r="AE113" s="3">
        <v>31.8</v>
      </c>
      <c r="AF113" s="3">
        <v>160</v>
      </c>
      <c r="AG113" s="3">
        <v>211</v>
      </c>
      <c r="AH113" s="3">
        <v>253</v>
      </c>
      <c r="AJ113" s="3">
        <v>31.8</v>
      </c>
      <c r="AK113" s="5">
        <f t="shared" si="6"/>
        <v>29</v>
      </c>
      <c r="AL113" s="5">
        <f t="shared" si="7"/>
        <v>41.333333333333336</v>
      </c>
      <c r="AM113" s="5">
        <f t="shared" si="8"/>
        <v>42.5</v>
      </c>
      <c r="AO113" s="5">
        <f t="shared" si="11"/>
        <v>28.714285714285712</v>
      </c>
      <c r="AP113" s="5">
        <f t="shared" si="9"/>
        <v>36.452380952380949</v>
      </c>
      <c r="AQ113" s="5">
        <f t="shared" si="10"/>
        <v>46</v>
      </c>
    </row>
    <row r="114" spans="1:43" x14ac:dyDescent="0.45">
      <c r="A114" s="3">
        <v>32</v>
      </c>
      <c r="B114" s="3">
        <v>26</v>
      </c>
      <c r="C114" s="3">
        <v>28</v>
      </c>
      <c r="D114" s="3">
        <v>46</v>
      </c>
      <c r="F114" s="3">
        <v>32</v>
      </c>
      <c r="G114" s="3">
        <v>22</v>
      </c>
      <c r="H114" s="3">
        <v>38</v>
      </c>
      <c r="I114" s="3">
        <v>49</v>
      </c>
      <c r="K114" s="3">
        <v>32</v>
      </c>
      <c r="L114" s="3">
        <v>26</v>
      </c>
      <c r="M114" s="3">
        <v>36</v>
      </c>
      <c r="N114" s="3">
        <v>39</v>
      </c>
      <c r="P114" s="3">
        <v>32</v>
      </c>
      <c r="Q114" s="3">
        <v>25</v>
      </c>
      <c r="R114" s="3">
        <v>35</v>
      </c>
      <c r="S114" s="3">
        <v>42</v>
      </c>
      <c r="U114" s="3">
        <v>32</v>
      </c>
      <c r="V114" s="3">
        <v>31</v>
      </c>
      <c r="W114" s="3">
        <v>36</v>
      </c>
      <c r="X114" s="3">
        <v>37</v>
      </c>
      <c r="Z114" s="3">
        <v>32</v>
      </c>
      <c r="AA114" s="3">
        <v>27</v>
      </c>
      <c r="AB114" s="3">
        <v>38</v>
      </c>
      <c r="AC114" s="3">
        <v>60</v>
      </c>
      <c r="AE114" s="3">
        <v>32</v>
      </c>
      <c r="AF114" s="3">
        <v>166</v>
      </c>
      <c r="AG114" s="3">
        <v>217</v>
      </c>
      <c r="AH114" s="3">
        <v>248</v>
      </c>
      <c r="AJ114" s="3">
        <v>32</v>
      </c>
      <c r="AK114" s="5">
        <f t="shared" si="6"/>
        <v>26.166666666666668</v>
      </c>
      <c r="AL114" s="5">
        <f t="shared" si="7"/>
        <v>35.166666666666664</v>
      </c>
      <c r="AM114" s="5">
        <f t="shared" si="8"/>
        <v>45.5</v>
      </c>
      <c r="AO114" s="5">
        <f t="shared" si="11"/>
        <v>28.190476190476193</v>
      </c>
      <c r="AP114" s="5">
        <f t="shared" si="9"/>
        <v>36.261904761904766</v>
      </c>
      <c r="AQ114" s="5">
        <f t="shared" si="10"/>
        <v>45.095238095238095</v>
      </c>
    </row>
    <row r="115" spans="1:43" x14ac:dyDescent="0.45">
      <c r="A115" s="3">
        <v>32.200000000000003</v>
      </c>
      <c r="B115" s="3">
        <v>27</v>
      </c>
      <c r="C115" s="3">
        <v>34</v>
      </c>
      <c r="D115" s="3">
        <v>54</v>
      </c>
      <c r="F115" s="3">
        <v>32.200000000000003</v>
      </c>
      <c r="G115" s="3">
        <v>29</v>
      </c>
      <c r="H115" s="3">
        <v>34</v>
      </c>
      <c r="I115" s="3">
        <v>35</v>
      </c>
      <c r="K115" s="3">
        <v>32.200000000000003</v>
      </c>
      <c r="L115" s="3">
        <v>28</v>
      </c>
      <c r="M115" s="3">
        <v>31</v>
      </c>
      <c r="N115" s="3">
        <v>51</v>
      </c>
      <c r="P115" s="3">
        <v>32.200000000000003</v>
      </c>
      <c r="Q115" s="3">
        <v>22</v>
      </c>
      <c r="R115" s="3">
        <v>36</v>
      </c>
      <c r="S115" s="3">
        <v>53</v>
      </c>
      <c r="U115" s="3">
        <v>32.200000000000003</v>
      </c>
      <c r="V115" s="3">
        <v>22</v>
      </c>
      <c r="W115" s="3">
        <v>46</v>
      </c>
      <c r="X115" s="3">
        <v>44</v>
      </c>
      <c r="Z115" s="3">
        <v>32.200000000000003</v>
      </c>
      <c r="AA115" s="3">
        <v>23</v>
      </c>
      <c r="AB115" s="3">
        <v>32</v>
      </c>
      <c r="AC115" s="3">
        <v>50</v>
      </c>
      <c r="AE115" s="3">
        <v>32.200000000000003</v>
      </c>
      <c r="AF115" s="3">
        <v>149</v>
      </c>
      <c r="AG115" s="3">
        <v>197</v>
      </c>
      <c r="AH115" s="3">
        <v>235</v>
      </c>
      <c r="AJ115" s="3">
        <v>32.200000000000003</v>
      </c>
      <c r="AK115" s="5">
        <f t="shared" si="6"/>
        <v>25.166666666666668</v>
      </c>
      <c r="AL115" s="5">
        <f t="shared" si="7"/>
        <v>35.5</v>
      </c>
      <c r="AM115" s="5">
        <f t="shared" si="8"/>
        <v>47.833333333333336</v>
      </c>
      <c r="AO115" s="5">
        <f t="shared" si="11"/>
        <v>27.738095238095241</v>
      </c>
      <c r="AP115" s="5">
        <f t="shared" si="9"/>
        <v>34.785714285714285</v>
      </c>
      <c r="AQ115" s="5">
        <f t="shared" si="10"/>
        <v>43.523809523809526</v>
      </c>
    </row>
    <row r="116" spans="1:43" x14ac:dyDescent="0.45">
      <c r="A116" s="3">
        <v>32.4</v>
      </c>
      <c r="B116" s="3">
        <v>27</v>
      </c>
      <c r="C116" s="3">
        <v>35</v>
      </c>
      <c r="D116" s="3">
        <v>43</v>
      </c>
      <c r="F116" s="3">
        <v>32.4</v>
      </c>
      <c r="G116" s="3">
        <v>27</v>
      </c>
      <c r="H116" s="3">
        <v>31</v>
      </c>
      <c r="I116" s="3">
        <v>38</v>
      </c>
      <c r="K116" s="3">
        <v>32.4</v>
      </c>
      <c r="L116" s="3">
        <v>33</v>
      </c>
      <c r="M116" s="3">
        <v>34</v>
      </c>
      <c r="N116" s="3">
        <v>43</v>
      </c>
      <c r="P116" s="3">
        <v>32.4</v>
      </c>
      <c r="Q116" s="3">
        <v>17</v>
      </c>
      <c r="R116" s="3">
        <v>33</v>
      </c>
      <c r="S116" s="3">
        <v>41</v>
      </c>
      <c r="U116" s="3">
        <v>32.4</v>
      </c>
      <c r="V116" s="3">
        <v>33</v>
      </c>
      <c r="W116" s="3">
        <v>39</v>
      </c>
      <c r="X116" s="3">
        <v>38</v>
      </c>
      <c r="Z116" s="3">
        <v>32.4</v>
      </c>
      <c r="AA116" s="3">
        <v>28</v>
      </c>
      <c r="AB116" s="3">
        <v>32</v>
      </c>
      <c r="AC116" s="3">
        <v>41</v>
      </c>
      <c r="AE116" s="3">
        <v>32.4</v>
      </c>
      <c r="AF116" s="3">
        <v>141</v>
      </c>
      <c r="AG116" s="3">
        <v>202</v>
      </c>
      <c r="AH116" s="3">
        <v>214</v>
      </c>
      <c r="AJ116" s="3">
        <v>32.4</v>
      </c>
      <c r="AK116" s="5">
        <f t="shared" si="6"/>
        <v>27.5</v>
      </c>
      <c r="AL116" s="5">
        <f t="shared" si="7"/>
        <v>34</v>
      </c>
      <c r="AM116" s="5">
        <f t="shared" si="8"/>
        <v>40.666666666666664</v>
      </c>
      <c r="AO116" s="5">
        <f t="shared" si="11"/>
        <v>27.238095238095241</v>
      </c>
      <c r="AP116" s="5">
        <f t="shared" si="9"/>
        <v>35</v>
      </c>
      <c r="AQ116" s="5">
        <f t="shared" si="10"/>
        <v>43.166666666666664</v>
      </c>
    </row>
    <row r="117" spans="1:43" x14ac:dyDescent="0.45">
      <c r="A117" s="3">
        <v>32.5</v>
      </c>
      <c r="B117" s="3">
        <v>28</v>
      </c>
      <c r="C117" s="3">
        <v>33</v>
      </c>
      <c r="D117" s="3">
        <v>44</v>
      </c>
      <c r="F117" s="3">
        <v>32.5</v>
      </c>
      <c r="G117" s="3">
        <v>26</v>
      </c>
      <c r="H117" s="3">
        <v>37</v>
      </c>
      <c r="I117" s="3">
        <v>39</v>
      </c>
      <c r="K117" s="3">
        <v>32.5</v>
      </c>
      <c r="L117" s="3">
        <v>22</v>
      </c>
      <c r="M117" s="3">
        <v>32</v>
      </c>
      <c r="N117" s="3">
        <v>37</v>
      </c>
      <c r="P117" s="3">
        <v>32.5</v>
      </c>
      <c r="Q117" s="3">
        <v>24</v>
      </c>
      <c r="R117" s="3">
        <v>36</v>
      </c>
      <c r="S117" s="3">
        <v>48</v>
      </c>
      <c r="U117" s="3">
        <v>32.5</v>
      </c>
      <c r="V117" s="3">
        <v>25</v>
      </c>
      <c r="W117" s="3">
        <v>42</v>
      </c>
      <c r="X117" s="3">
        <v>40</v>
      </c>
      <c r="Z117" s="3">
        <v>32.5</v>
      </c>
      <c r="AA117" s="3">
        <v>34</v>
      </c>
      <c r="AB117" s="3">
        <v>32</v>
      </c>
      <c r="AC117" s="3">
        <v>54</v>
      </c>
      <c r="AE117" s="3">
        <v>32.5</v>
      </c>
      <c r="AF117" s="3">
        <v>140</v>
      </c>
      <c r="AG117" s="3">
        <v>185</v>
      </c>
      <c r="AH117" s="3">
        <v>217</v>
      </c>
      <c r="AJ117" s="3">
        <v>32.5</v>
      </c>
      <c r="AK117" s="5">
        <f t="shared" si="6"/>
        <v>26.5</v>
      </c>
      <c r="AL117" s="5">
        <f t="shared" si="7"/>
        <v>35.333333333333336</v>
      </c>
      <c r="AM117" s="5">
        <f t="shared" si="8"/>
        <v>43.666666666666664</v>
      </c>
      <c r="AO117" s="5">
        <f t="shared" si="11"/>
        <v>26.690476190476193</v>
      </c>
      <c r="AP117" s="5">
        <f t="shared" si="9"/>
        <v>33.928571428571431</v>
      </c>
      <c r="AQ117" s="5">
        <f t="shared" si="10"/>
        <v>43.119047619047613</v>
      </c>
    </row>
    <row r="118" spans="1:43" x14ac:dyDescent="0.45">
      <c r="A118" s="3">
        <v>32.799999999999997</v>
      </c>
      <c r="B118" s="3">
        <v>26</v>
      </c>
      <c r="C118" s="3">
        <v>26</v>
      </c>
      <c r="D118" s="3">
        <v>40</v>
      </c>
      <c r="F118" s="3">
        <v>32.799999999999997</v>
      </c>
      <c r="G118" s="3">
        <v>29</v>
      </c>
      <c r="H118" s="3">
        <v>29</v>
      </c>
      <c r="I118" s="3">
        <v>35</v>
      </c>
      <c r="K118" s="3">
        <v>32.799999999999997</v>
      </c>
      <c r="L118" s="3">
        <v>33</v>
      </c>
      <c r="M118" s="3">
        <v>27</v>
      </c>
      <c r="N118" s="3">
        <v>35</v>
      </c>
      <c r="P118" s="3">
        <v>32.799999999999997</v>
      </c>
      <c r="Q118" s="3">
        <v>35</v>
      </c>
      <c r="R118" s="3">
        <v>26</v>
      </c>
      <c r="S118" s="3">
        <v>37</v>
      </c>
      <c r="U118" s="3">
        <v>32.799999999999997</v>
      </c>
      <c r="V118" s="3">
        <v>32</v>
      </c>
      <c r="W118" s="3">
        <v>34</v>
      </c>
      <c r="X118" s="3">
        <v>48</v>
      </c>
      <c r="Z118" s="3">
        <v>32.799999999999997</v>
      </c>
      <c r="AA118" s="3">
        <v>28</v>
      </c>
      <c r="AB118" s="3">
        <v>26</v>
      </c>
      <c r="AC118" s="3">
        <v>51</v>
      </c>
      <c r="AE118" s="3">
        <v>32.799999999999997</v>
      </c>
      <c r="AF118" s="3">
        <v>137</v>
      </c>
      <c r="AG118" s="3">
        <v>195</v>
      </c>
      <c r="AH118" s="3">
        <v>250</v>
      </c>
      <c r="AJ118" s="3">
        <v>32.799999999999997</v>
      </c>
      <c r="AK118" s="5">
        <f t="shared" si="6"/>
        <v>30.5</v>
      </c>
      <c r="AL118" s="5">
        <f t="shared" si="7"/>
        <v>28</v>
      </c>
      <c r="AM118" s="5">
        <f t="shared" si="8"/>
        <v>41</v>
      </c>
      <c r="AO118" s="5">
        <f t="shared" si="11"/>
        <v>26.142857142857142</v>
      </c>
      <c r="AP118" s="5">
        <f t="shared" si="9"/>
        <v>33.523809523809526</v>
      </c>
      <c r="AQ118" s="5">
        <f t="shared" si="10"/>
        <v>42.309523809523803</v>
      </c>
    </row>
    <row r="119" spans="1:43" x14ac:dyDescent="0.45">
      <c r="A119" s="3">
        <v>33</v>
      </c>
      <c r="B119" s="3">
        <v>21</v>
      </c>
      <c r="C119" s="3">
        <v>38</v>
      </c>
      <c r="D119" s="3">
        <v>39</v>
      </c>
      <c r="F119" s="3">
        <v>33</v>
      </c>
      <c r="G119" s="3">
        <v>24</v>
      </c>
      <c r="H119" s="3">
        <v>41</v>
      </c>
      <c r="I119" s="3">
        <v>49</v>
      </c>
      <c r="K119" s="3">
        <v>33</v>
      </c>
      <c r="L119" s="3">
        <v>30</v>
      </c>
      <c r="M119" s="3">
        <v>33</v>
      </c>
      <c r="N119" s="3">
        <v>41</v>
      </c>
      <c r="P119" s="3">
        <v>33</v>
      </c>
      <c r="Q119" s="3">
        <v>19</v>
      </c>
      <c r="R119" s="3">
        <v>31</v>
      </c>
      <c r="S119" s="3">
        <v>40</v>
      </c>
      <c r="U119" s="3">
        <v>33</v>
      </c>
      <c r="V119" s="3">
        <v>35</v>
      </c>
      <c r="W119" s="3">
        <v>27</v>
      </c>
      <c r="X119" s="3">
        <v>39</v>
      </c>
      <c r="Z119" s="3">
        <v>33</v>
      </c>
      <c r="AA119" s="3">
        <v>26</v>
      </c>
      <c r="AB119" s="3">
        <v>44</v>
      </c>
      <c r="AC119" s="3">
        <v>38</v>
      </c>
      <c r="AE119" s="3">
        <v>33</v>
      </c>
      <c r="AF119" s="3">
        <v>138</v>
      </c>
      <c r="AG119" s="3">
        <v>199</v>
      </c>
      <c r="AH119" s="3">
        <v>218</v>
      </c>
      <c r="AJ119" s="3">
        <v>33</v>
      </c>
      <c r="AK119" s="5">
        <f t="shared" si="6"/>
        <v>25.833333333333332</v>
      </c>
      <c r="AL119" s="5">
        <f t="shared" si="7"/>
        <v>35.666666666666664</v>
      </c>
      <c r="AM119" s="5">
        <f t="shared" si="8"/>
        <v>41</v>
      </c>
      <c r="AO119" s="5">
        <f t="shared" si="11"/>
        <v>25.809523809523814</v>
      </c>
      <c r="AP119" s="5">
        <f t="shared" si="9"/>
        <v>33.023809523809526</v>
      </c>
      <c r="AQ119" s="5">
        <f t="shared" si="10"/>
        <v>41.642857142857146</v>
      </c>
    </row>
    <row r="120" spans="1:43" x14ac:dyDescent="0.45">
      <c r="A120" s="3">
        <v>33.200000000000003</v>
      </c>
      <c r="B120" s="3">
        <v>29</v>
      </c>
      <c r="C120" s="3">
        <v>35</v>
      </c>
      <c r="D120" s="3">
        <v>43</v>
      </c>
      <c r="F120" s="3">
        <v>33.200000000000003</v>
      </c>
      <c r="G120" s="3">
        <v>34</v>
      </c>
      <c r="H120" s="3">
        <v>30</v>
      </c>
      <c r="I120" s="3">
        <v>41</v>
      </c>
      <c r="K120" s="3">
        <v>33.200000000000003</v>
      </c>
      <c r="L120" s="3">
        <v>26</v>
      </c>
      <c r="M120" s="3">
        <v>32</v>
      </c>
      <c r="N120" s="3">
        <v>39</v>
      </c>
      <c r="P120" s="3">
        <v>33.200000000000003</v>
      </c>
      <c r="Q120" s="3">
        <v>21</v>
      </c>
      <c r="R120" s="3">
        <v>30</v>
      </c>
      <c r="S120" s="3">
        <v>42</v>
      </c>
      <c r="U120" s="3">
        <v>33.200000000000003</v>
      </c>
      <c r="V120" s="3">
        <v>19</v>
      </c>
      <c r="W120" s="3">
        <v>37</v>
      </c>
      <c r="X120" s="3">
        <v>44</v>
      </c>
      <c r="Z120" s="3">
        <v>33.200000000000003</v>
      </c>
      <c r="AA120" s="3">
        <v>22</v>
      </c>
      <c r="AB120" s="3">
        <v>39</v>
      </c>
      <c r="AC120" s="3">
        <v>44</v>
      </c>
      <c r="AE120" s="3">
        <v>33.200000000000003</v>
      </c>
      <c r="AF120" s="3">
        <v>135</v>
      </c>
      <c r="AG120" s="3">
        <v>167</v>
      </c>
      <c r="AH120" s="3">
        <v>198</v>
      </c>
      <c r="AJ120" s="3">
        <v>33.200000000000003</v>
      </c>
      <c r="AK120" s="5">
        <f t="shared" si="6"/>
        <v>25.166666666666668</v>
      </c>
      <c r="AL120" s="5">
        <f t="shared" si="7"/>
        <v>33.833333333333336</v>
      </c>
      <c r="AM120" s="5">
        <f t="shared" si="8"/>
        <v>42.166666666666664</v>
      </c>
      <c r="AO120" s="5">
        <f t="shared" si="11"/>
        <v>25.166666666666668</v>
      </c>
      <c r="AP120" s="5">
        <f t="shared" si="9"/>
        <v>32.928571428571431</v>
      </c>
      <c r="AQ120" s="5">
        <f t="shared" si="10"/>
        <v>40.452380952380949</v>
      </c>
    </row>
    <row r="121" spans="1:43" x14ac:dyDescent="0.45">
      <c r="A121" s="3">
        <v>33.4</v>
      </c>
      <c r="B121" s="3">
        <v>19</v>
      </c>
      <c r="C121" s="3">
        <v>29</v>
      </c>
      <c r="D121" s="3">
        <v>40</v>
      </c>
      <c r="F121" s="3">
        <v>33.4</v>
      </c>
      <c r="G121" s="3">
        <v>21</v>
      </c>
      <c r="H121" s="3">
        <v>40</v>
      </c>
      <c r="I121" s="3">
        <v>50</v>
      </c>
      <c r="K121" s="3">
        <v>33.4</v>
      </c>
      <c r="L121" s="3">
        <v>16</v>
      </c>
      <c r="M121" s="3">
        <v>26</v>
      </c>
      <c r="N121" s="3">
        <v>35</v>
      </c>
      <c r="P121" s="3">
        <v>33.4</v>
      </c>
      <c r="Q121" s="3">
        <v>26</v>
      </c>
      <c r="R121" s="3">
        <v>33</v>
      </c>
      <c r="S121" s="3">
        <v>40</v>
      </c>
      <c r="U121" s="3">
        <v>33.4</v>
      </c>
      <c r="V121" s="3">
        <v>27</v>
      </c>
      <c r="W121" s="3">
        <v>32</v>
      </c>
      <c r="X121" s="3">
        <v>36</v>
      </c>
      <c r="Z121" s="3">
        <v>33.4</v>
      </c>
      <c r="AA121" s="3">
        <v>25</v>
      </c>
      <c r="AB121" s="3">
        <v>34</v>
      </c>
      <c r="AC121" s="3">
        <v>38</v>
      </c>
      <c r="AE121" s="3">
        <v>33.4</v>
      </c>
      <c r="AF121" s="3">
        <v>124</v>
      </c>
      <c r="AG121" s="3">
        <v>146</v>
      </c>
      <c r="AH121" s="3">
        <v>199</v>
      </c>
      <c r="AJ121" s="3">
        <v>33.4</v>
      </c>
      <c r="AK121" s="5">
        <f t="shared" si="6"/>
        <v>22.333333333333332</v>
      </c>
      <c r="AL121" s="5">
        <f t="shared" si="7"/>
        <v>32.333333333333336</v>
      </c>
      <c r="AM121" s="5">
        <f t="shared" si="8"/>
        <v>39.833333333333336</v>
      </c>
      <c r="AO121" s="5">
        <f t="shared" si="11"/>
        <v>25.238095238095237</v>
      </c>
      <c r="AP121" s="5">
        <f t="shared" si="9"/>
        <v>32.047619047619051</v>
      </c>
      <c r="AQ121" s="5">
        <f t="shared" si="10"/>
        <v>39.523809523809526</v>
      </c>
    </row>
    <row r="122" spans="1:43" x14ac:dyDescent="0.45">
      <c r="A122" s="3">
        <v>33.5</v>
      </c>
      <c r="B122" s="3">
        <v>21</v>
      </c>
      <c r="C122" s="3">
        <v>40</v>
      </c>
      <c r="D122" s="3">
        <v>45</v>
      </c>
      <c r="F122" s="3">
        <v>33.5</v>
      </c>
      <c r="G122" s="3">
        <v>25</v>
      </c>
      <c r="H122" s="3">
        <v>33</v>
      </c>
      <c r="I122" s="3">
        <v>38</v>
      </c>
      <c r="K122" s="3">
        <v>33.5</v>
      </c>
      <c r="L122" s="3">
        <v>21</v>
      </c>
      <c r="M122" s="3">
        <v>24</v>
      </c>
      <c r="N122" s="3">
        <v>40</v>
      </c>
      <c r="P122" s="3">
        <v>33.5</v>
      </c>
      <c r="Q122" s="3">
        <v>21</v>
      </c>
      <c r="R122" s="3">
        <v>27</v>
      </c>
      <c r="S122" s="3">
        <v>45</v>
      </c>
      <c r="U122" s="3">
        <v>33.5</v>
      </c>
      <c r="V122" s="3">
        <v>24</v>
      </c>
      <c r="W122" s="3">
        <v>37</v>
      </c>
      <c r="X122" s="3">
        <v>50</v>
      </c>
      <c r="Z122" s="3">
        <v>33.5</v>
      </c>
      <c r="AA122" s="3">
        <v>25</v>
      </c>
      <c r="AB122" s="3">
        <v>31</v>
      </c>
      <c r="AC122" s="3">
        <v>41</v>
      </c>
      <c r="AE122" s="3">
        <v>33.5</v>
      </c>
      <c r="AF122" s="3">
        <v>125</v>
      </c>
      <c r="AG122" s="3">
        <v>185</v>
      </c>
      <c r="AH122" s="3">
        <v>177</v>
      </c>
      <c r="AJ122" s="3">
        <v>33.5</v>
      </c>
      <c r="AK122" s="5">
        <f t="shared" si="6"/>
        <v>22.833333333333332</v>
      </c>
      <c r="AL122" s="5">
        <f t="shared" si="7"/>
        <v>32</v>
      </c>
      <c r="AM122" s="5">
        <f t="shared" si="8"/>
        <v>43.166666666666664</v>
      </c>
      <c r="AO122" s="5">
        <f t="shared" si="11"/>
        <v>24.166666666666664</v>
      </c>
      <c r="AP122" s="5">
        <f t="shared" si="9"/>
        <v>31.928571428571427</v>
      </c>
      <c r="AQ122" s="5">
        <f t="shared" si="10"/>
        <v>38.69047619047619</v>
      </c>
    </row>
    <row r="123" spans="1:43" x14ac:dyDescent="0.45">
      <c r="A123" s="3">
        <v>33.799999999999997</v>
      </c>
      <c r="B123" s="3">
        <v>23</v>
      </c>
      <c r="C123" s="3">
        <v>39</v>
      </c>
      <c r="D123" s="3">
        <v>32</v>
      </c>
      <c r="F123" s="3">
        <v>33.799999999999997</v>
      </c>
      <c r="G123" s="3">
        <v>27</v>
      </c>
      <c r="H123" s="3">
        <v>35</v>
      </c>
      <c r="I123" s="3">
        <v>32</v>
      </c>
      <c r="K123" s="3">
        <v>33.799999999999997</v>
      </c>
      <c r="L123" s="3">
        <v>24</v>
      </c>
      <c r="M123" s="3">
        <v>28</v>
      </c>
      <c r="N123" s="3">
        <v>23</v>
      </c>
      <c r="P123" s="3">
        <v>33.799999999999997</v>
      </c>
      <c r="Q123" s="3">
        <v>20</v>
      </c>
      <c r="R123" s="3">
        <v>27</v>
      </c>
      <c r="S123" s="3">
        <v>36</v>
      </c>
      <c r="U123" s="3">
        <v>33.799999999999997</v>
      </c>
      <c r="V123" s="3">
        <v>22</v>
      </c>
      <c r="W123" s="3">
        <v>41</v>
      </c>
      <c r="X123" s="3">
        <v>37</v>
      </c>
      <c r="Z123" s="3">
        <v>33.799999999999997</v>
      </c>
      <c r="AA123" s="3">
        <v>22</v>
      </c>
      <c r="AB123" s="3">
        <v>30</v>
      </c>
      <c r="AC123" s="3">
        <v>34</v>
      </c>
      <c r="AE123" s="3">
        <v>33.799999999999997</v>
      </c>
      <c r="AF123" s="3">
        <v>150</v>
      </c>
      <c r="AG123" s="3">
        <v>210</v>
      </c>
      <c r="AH123" s="3">
        <v>232</v>
      </c>
      <c r="AJ123" s="3">
        <v>33.799999999999997</v>
      </c>
      <c r="AK123" s="5">
        <f t="shared" si="6"/>
        <v>23</v>
      </c>
      <c r="AL123" s="5">
        <f t="shared" si="7"/>
        <v>33.333333333333336</v>
      </c>
      <c r="AM123" s="5">
        <f t="shared" si="8"/>
        <v>32.333333333333336</v>
      </c>
      <c r="AO123" s="5">
        <f t="shared" si="11"/>
        <v>23.166666666666664</v>
      </c>
      <c r="AP123" s="5">
        <f t="shared" si="9"/>
        <v>31.404761904761902</v>
      </c>
      <c r="AQ123" s="5">
        <f t="shared" si="10"/>
        <v>37.809523809523803</v>
      </c>
    </row>
    <row r="124" spans="1:43" x14ac:dyDescent="0.45">
      <c r="A124" s="3">
        <v>34</v>
      </c>
      <c r="B124" s="3">
        <v>27</v>
      </c>
      <c r="C124" s="3">
        <v>33</v>
      </c>
      <c r="D124" s="3">
        <v>33</v>
      </c>
      <c r="F124" s="3">
        <v>34</v>
      </c>
      <c r="G124" s="3">
        <v>38</v>
      </c>
      <c r="H124" s="3">
        <v>27</v>
      </c>
      <c r="I124" s="3">
        <v>44</v>
      </c>
      <c r="K124" s="3">
        <v>34</v>
      </c>
      <c r="L124" s="3">
        <v>28</v>
      </c>
      <c r="M124" s="3">
        <v>30</v>
      </c>
      <c r="N124" s="3">
        <v>36</v>
      </c>
      <c r="P124" s="3">
        <v>34</v>
      </c>
      <c r="Q124" s="3">
        <v>19</v>
      </c>
      <c r="R124" s="3">
        <v>29</v>
      </c>
      <c r="S124" s="3">
        <v>36</v>
      </c>
      <c r="U124" s="3">
        <v>34</v>
      </c>
      <c r="V124" s="3">
        <v>29</v>
      </c>
      <c r="W124" s="3">
        <v>27</v>
      </c>
      <c r="X124" s="3">
        <v>35</v>
      </c>
      <c r="Z124" s="3">
        <v>34</v>
      </c>
      <c r="AA124" s="3">
        <v>21</v>
      </c>
      <c r="AB124" s="3">
        <v>29</v>
      </c>
      <c r="AC124" s="3">
        <v>39</v>
      </c>
      <c r="AE124" s="3">
        <v>34</v>
      </c>
      <c r="AF124" s="3">
        <v>121</v>
      </c>
      <c r="AG124" s="3">
        <v>196</v>
      </c>
      <c r="AH124" s="3">
        <v>206</v>
      </c>
      <c r="AJ124" s="3">
        <v>34</v>
      </c>
      <c r="AK124" s="5">
        <f t="shared" si="6"/>
        <v>27</v>
      </c>
      <c r="AL124" s="5">
        <f t="shared" si="7"/>
        <v>29.166666666666668</v>
      </c>
      <c r="AM124" s="5">
        <f t="shared" si="8"/>
        <v>37.166666666666664</v>
      </c>
      <c r="AO124" s="5">
        <f t="shared" si="11"/>
        <v>23.023809523809522</v>
      </c>
      <c r="AP124" s="5">
        <f t="shared" si="9"/>
        <v>30.738095238095241</v>
      </c>
      <c r="AQ124" s="5">
        <f t="shared" si="10"/>
        <v>36.976190476190474</v>
      </c>
    </row>
    <row r="125" spans="1:43" x14ac:dyDescent="0.45">
      <c r="A125" s="3">
        <v>34.200000000000003</v>
      </c>
      <c r="B125" s="3">
        <v>24</v>
      </c>
      <c r="C125" s="3">
        <v>32</v>
      </c>
      <c r="D125" s="3">
        <v>39</v>
      </c>
      <c r="F125" s="3">
        <v>34.200000000000003</v>
      </c>
      <c r="G125" s="3">
        <v>26</v>
      </c>
      <c r="H125" s="3">
        <v>27</v>
      </c>
      <c r="I125" s="3">
        <v>42</v>
      </c>
      <c r="K125" s="3">
        <v>34.200000000000003</v>
      </c>
      <c r="L125" s="3">
        <v>19</v>
      </c>
      <c r="M125" s="3">
        <v>27</v>
      </c>
      <c r="N125" s="3">
        <v>34</v>
      </c>
      <c r="P125" s="3">
        <v>34.200000000000003</v>
      </c>
      <c r="Q125" s="3">
        <v>18</v>
      </c>
      <c r="R125" s="3">
        <v>22</v>
      </c>
      <c r="S125" s="3">
        <v>37</v>
      </c>
      <c r="U125" s="3">
        <v>34.200000000000003</v>
      </c>
      <c r="V125" s="3">
        <v>24</v>
      </c>
      <c r="W125" s="3">
        <v>26</v>
      </c>
      <c r="X125" s="3">
        <v>24</v>
      </c>
      <c r="Z125" s="3">
        <v>34.200000000000003</v>
      </c>
      <c r="AA125" s="3">
        <v>27</v>
      </c>
      <c r="AB125" s="3">
        <v>29</v>
      </c>
      <c r="AC125" s="3">
        <v>35</v>
      </c>
      <c r="AE125" s="3">
        <v>34.200000000000003</v>
      </c>
      <c r="AF125" s="3">
        <v>101</v>
      </c>
      <c r="AG125" s="3">
        <v>146</v>
      </c>
      <c r="AH125" s="3">
        <v>186</v>
      </c>
      <c r="AJ125" s="3">
        <v>34.200000000000003</v>
      </c>
      <c r="AK125" s="5">
        <f t="shared" si="6"/>
        <v>23</v>
      </c>
      <c r="AL125" s="5">
        <f t="shared" si="7"/>
        <v>27.166666666666668</v>
      </c>
      <c r="AM125" s="5">
        <f t="shared" si="8"/>
        <v>35.166666666666664</v>
      </c>
      <c r="AO125" s="5">
        <f t="shared" si="11"/>
        <v>22.714285714285712</v>
      </c>
      <c r="AP125" s="5">
        <f t="shared" si="9"/>
        <v>29.857142857142858</v>
      </c>
      <c r="AQ125" s="5">
        <f t="shared" si="10"/>
        <v>36.238095238095234</v>
      </c>
    </row>
    <row r="126" spans="1:43" x14ac:dyDescent="0.45">
      <c r="A126" s="3">
        <v>34.4</v>
      </c>
      <c r="B126" s="3">
        <v>15</v>
      </c>
      <c r="C126" s="3">
        <v>26</v>
      </c>
      <c r="D126" s="3">
        <v>42</v>
      </c>
      <c r="F126" s="3">
        <v>34.4</v>
      </c>
      <c r="G126" s="3">
        <v>16</v>
      </c>
      <c r="H126" s="3">
        <v>26</v>
      </c>
      <c r="I126" s="3">
        <v>35</v>
      </c>
      <c r="K126" s="3">
        <v>34.4</v>
      </c>
      <c r="L126" s="3">
        <v>25</v>
      </c>
      <c r="M126" s="3">
        <v>38</v>
      </c>
      <c r="N126" s="3">
        <v>32</v>
      </c>
      <c r="P126" s="3">
        <v>34.4</v>
      </c>
      <c r="Q126" s="3">
        <v>21</v>
      </c>
      <c r="R126" s="3">
        <v>34</v>
      </c>
      <c r="S126" s="3">
        <v>29</v>
      </c>
      <c r="U126" s="3">
        <v>34.4</v>
      </c>
      <c r="V126" s="3">
        <v>16</v>
      </c>
      <c r="W126" s="3">
        <v>39</v>
      </c>
      <c r="X126" s="3">
        <v>43</v>
      </c>
      <c r="Z126" s="3">
        <v>34.4</v>
      </c>
      <c r="AA126" s="3">
        <v>20</v>
      </c>
      <c r="AB126" s="3">
        <v>29</v>
      </c>
      <c r="AC126" s="3">
        <v>28</v>
      </c>
      <c r="AE126" s="3">
        <v>34.4</v>
      </c>
      <c r="AF126" s="3">
        <v>116</v>
      </c>
      <c r="AG126" s="3">
        <v>148</v>
      </c>
      <c r="AH126" s="3">
        <v>184</v>
      </c>
      <c r="AJ126" s="3">
        <v>34.4</v>
      </c>
      <c r="AK126" s="5">
        <f t="shared" si="6"/>
        <v>18.833333333333332</v>
      </c>
      <c r="AL126" s="5">
        <f t="shared" si="7"/>
        <v>32</v>
      </c>
      <c r="AM126" s="5">
        <f t="shared" si="8"/>
        <v>34.833333333333336</v>
      </c>
      <c r="AO126" s="5">
        <f t="shared" si="11"/>
        <v>22.690476190476186</v>
      </c>
      <c r="AP126" s="5">
        <f t="shared" si="9"/>
        <v>28.857142857142858</v>
      </c>
      <c r="AQ126" s="5">
        <f t="shared" si="10"/>
        <v>34.80952380952381</v>
      </c>
    </row>
    <row r="127" spans="1:43" x14ac:dyDescent="0.45">
      <c r="A127" s="3">
        <v>34.5</v>
      </c>
      <c r="B127" s="3">
        <v>18</v>
      </c>
      <c r="C127" s="3">
        <v>29</v>
      </c>
      <c r="D127" s="3">
        <v>39</v>
      </c>
      <c r="F127" s="3">
        <v>34.5</v>
      </c>
      <c r="G127" s="3">
        <v>34</v>
      </c>
      <c r="H127" s="3">
        <v>27</v>
      </c>
      <c r="I127" s="3">
        <v>46</v>
      </c>
      <c r="K127" s="3">
        <v>34.5</v>
      </c>
      <c r="L127" s="3">
        <v>23</v>
      </c>
      <c r="M127" s="3">
        <v>30</v>
      </c>
      <c r="N127" s="3">
        <v>40</v>
      </c>
      <c r="P127" s="3">
        <v>34.5</v>
      </c>
      <c r="Q127" s="3">
        <v>29</v>
      </c>
      <c r="R127" s="3">
        <v>20</v>
      </c>
      <c r="S127" s="3">
        <v>32</v>
      </c>
      <c r="U127" s="3">
        <v>34.5</v>
      </c>
      <c r="V127" s="3">
        <v>19</v>
      </c>
      <c r="W127" s="3">
        <v>38</v>
      </c>
      <c r="X127" s="3">
        <v>24</v>
      </c>
      <c r="Z127" s="3">
        <v>34.5</v>
      </c>
      <c r="AA127" s="3">
        <v>22</v>
      </c>
      <c r="AB127" s="3">
        <v>31</v>
      </c>
      <c r="AC127" s="3">
        <v>37</v>
      </c>
      <c r="AE127" s="3">
        <v>34.5</v>
      </c>
      <c r="AF127" s="3">
        <v>104</v>
      </c>
      <c r="AG127" s="3">
        <v>148</v>
      </c>
      <c r="AH127" s="3">
        <v>165</v>
      </c>
      <c r="AJ127" s="3">
        <v>34.5</v>
      </c>
      <c r="AK127" s="5">
        <f t="shared" si="6"/>
        <v>24.166666666666668</v>
      </c>
      <c r="AL127" s="5">
        <f t="shared" si="7"/>
        <v>29.166666666666668</v>
      </c>
      <c r="AM127" s="5">
        <f t="shared" si="8"/>
        <v>36.333333333333336</v>
      </c>
      <c r="AO127" s="5">
        <f t="shared" si="11"/>
        <v>22.309523809523814</v>
      </c>
      <c r="AP127" s="5">
        <f t="shared" si="9"/>
        <v>28.380952380952383</v>
      </c>
      <c r="AQ127" s="5">
        <f t="shared" si="10"/>
        <v>34.19047619047619</v>
      </c>
    </row>
    <row r="128" spans="1:43" x14ac:dyDescent="0.45">
      <c r="A128" s="3">
        <v>34.799999999999997</v>
      </c>
      <c r="B128" s="3">
        <v>21</v>
      </c>
      <c r="C128" s="3">
        <v>19</v>
      </c>
      <c r="D128" s="3">
        <v>41</v>
      </c>
      <c r="F128" s="3">
        <v>34.799999999999997</v>
      </c>
      <c r="G128" s="3">
        <v>15</v>
      </c>
      <c r="H128" s="3">
        <v>30</v>
      </c>
      <c r="I128" s="3">
        <v>33</v>
      </c>
      <c r="K128" s="3">
        <v>34.799999999999997</v>
      </c>
      <c r="L128" s="3">
        <v>28</v>
      </c>
      <c r="M128" s="3">
        <v>23</v>
      </c>
      <c r="N128" s="3">
        <v>27</v>
      </c>
      <c r="P128" s="3">
        <v>34.799999999999997</v>
      </c>
      <c r="Q128" s="3">
        <v>15</v>
      </c>
      <c r="R128" s="3">
        <v>29</v>
      </c>
      <c r="S128" s="3">
        <v>35</v>
      </c>
      <c r="U128" s="3">
        <v>34.799999999999997</v>
      </c>
      <c r="V128" s="3">
        <v>21</v>
      </c>
      <c r="W128" s="3">
        <v>28</v>
      </c>
      <c r="X128" s="3">
        <v>36</v>
      </c>
      <c r="Z128" s="3">
        <v>34.799999999999997</v>
      </c>
      <c r="AA128" s="3">
        <v>21</v>
      </c>
      <c r="AB128" s="3">
        <v>28</v>
      </c>
      <c r="AC128" s="3">
        <v>36</v>
      </c>
      <c r="AE128" s="3">
        <v>34.799999999999997</v>
      </c>
      <c r="AF128" s="3">
        <v>128</v>
      </c>
      <c r="AG128" s="3">
        <v>157</v>
      </c>
      <c r="AH128" s="3">
        <v>176</v>
      </c>
      <c r="AJ128" s="3">
        <v>34.799999999999997</v>
      </c>
      <c r="AK128" s="5">
        <f t="shared" si="6"/>
        <v>20.166666666666668</v>
      </c>
      <c r="AL128" s="5">
        <f t="shared" si="7"/>
        <v>26.166666666666668</v>
      </c>
      <c r="AM128" s="5">
        <f t="shared" si="8"/>
        <v>34.666666666666664</v>
      </c>
      <c r="AO128" s="5">
        <f t="shared" si="11"/>
        <v>21.547619047619047</v>
      </c>
      <c r="AP128" s="5">
        <f t="shared" si="9"/>
        <v>27.333333333333336</v>
      </c>
      <c r="AQ128" s="5">
        <f t="shared" si="10"/>
        <v>33.833333333333329</v>
      </c>
    </row>
    <row r="129" spans="1:43" x14ac:dyDescent="0.45">
      <c r="A129" s="3">
        <v>35</v>
      </c>
      <c r="B129" s="3">
        <v>25</v>
      </c>
      <c r="C129" s="3">
        <v>29</v>
      </c>
      <c r="D129" s="3">
        <v>35</v>
      </c>
      <c r="F129" s="3">
        <v>35</v>
      </c>
      <c r="G129" s="3">
        <v>23</v>
      </c>
      <c r="H129" s="3">
        <v>21</v>
      </c>
      <c r="I129" s="3">
        <v>27</v>
      </c>
      <c r="K129" s="3">
        <v>35</v>
      </c>
      <c r="L129" s="3">
        <v>24</v>
      </c>
      <c r="M129" s="3">
        <v>28</v>
      </c>
      <c r="N129" s="3">
        <v>33</v>
      </c>
      <c r="P129" s="3">
        <v>35</v>
      </c>
      <c r="Q129" s="3">
        <v>15</v>
      </c>
      <c r="R129" s="3">
        <v>23</v>
      </c>
      <c r="S129" s="3">
        <v>30</v>
      </c>
      <c r="U129" s="3">
        <v>35</v>
      </c>
      <c r="V129" s="3">
        <v>21</v>
      </c>
      <c r="W129" s="3">
        <v>19</v>
      </c>
      <c r="X129" s="3">
        <v>43</v>
      </c>
      <c r="Z129" s="3">
        <v>35</v>
      </c>
      <c r="AA129" s="3">
        <v>28</v>
      </c>
      <c r="AB129" s="3">
        <v>30</v>
      </c>
      <c r="AC129" s="3">
        <v>31</v>
      </c>
      <c r="AE129" s="3">
        <v>35</v>
      </c>
      <c r="AF129" s="3">
        <v>100</v>
      </c>
      <c r="AG129" s="3">
        <v>158</v>
      </c>
      <c r="AH129" s="3">
        <v>171</v>
      </c>
      <c r="AJ129" s="3">
        <v>35</v>
      </c>
      <c r="AK129" s="5">
        <f t="shared" si="6"/>
        <v>22.666666666666668</v>
      </c>
      <c r="AL129" s="5">
        <f t="shared" si="7"/>
        <v>25</v>
      </c>
      <c r="AM129" s="5">
        <f t="shared" si="8"/>
        <v>33.166666666666664</v>
      </c>
      <c r="AO129" s="5">
        <f t="shared" si="11"/>
        <v>21.142857142857142</v>
      </c>
      <c r="AP129" s="5">
        <f t="shared" si="9"/>
        <v>26.928571428571434</v>
      </c>
      <c r="AQ129" s="5">
        <f t="shared" si="10"/>
        <v>33.761904761904759</v>
      </c>
    </row>
    <row r="130" spans="1:43" x14ac:dyDescent="0.45">
      <c r="A130" s="3">
        <v>35.200000000000003</v>
      </c>
      <c r="B130" s="3">
        <v>22</v>
      </c>
      <c r="C130" s="3">
        <v>40</v>
      </c>
      <c r="D130" s="3">
        <v>32</v>
      </c>
      <c r="F130" s="3">
        <v>35.200000000000003</v>
      </c>
      <c r="G130" s="3">
        <v>21</v>
      </c>
      <c r="H130" s="3">
        <v>23</v>
      </c>
      <c r="I130" s="3">
        <v>25</v>
      </c>
      <c r="K130" s="3">
        <v>35.200000000000003</v>
      </c>
      <c r="L130" s="3">
        <v>25</v>
      </c>
      <c r="M130" s="3">
        <v>21</v>
      </c>
      <c r="N130" s="3">
        <v>39</v>
      </c>
      <c r="P130" s="3">
        <v>35.200000000000003</v>
      </c>
      <c r="Q130" s="3">
        <v>15</v>
      </c>
      <c r="R130" s="3">
        <v>28</v>
      </c>
      <c r="S130" s="3">
        <v>30</v>
      </c>
      <c r="U130" s="3">
        <v>35.200000000000003</v>
      </c>
      <c r="V130" s="3">
        <v>17</v>
      </c>
      <c r="W130" s="3">
        <v>33</v>
      </c>
      <c r="X130" s="3">
        <v>23</v>
      </c>
      <c r="Z130" s="3">
        <v>35.200000000000003</v>
      </c>
      <c r="AA130" s="3">
        <v>22</v>
      </c>
      <c r="AB130" s="3">
        <v>35</v>
      </c>
      <c r="AC130" s="3">
        <v>19</v>
      </c>
      <c r="AE130" s="3">
        <v>35.200000000000003</v>
      </c>
      <c r="AF130" s="3">
        <v>126</v>
      </c>
      <c r="AG130" s="3">
        <v>134</v>
      </c>
      <c r="AH130" s="3">
        <v>167</v>
      </c>
      <c r="AJ130" s="3">
        <v>35.200000000000003</v>
      </c>
      <c r="AK130" s="5">
        <f t="shared" si="6"/>
        <v>20.333333333333332</v>
      </c>
      <c r="AL130" s="5">
        <f t="shared" si="7"/>
        <v>30</v>
      </c>
      <c r="AM130" s="5">
        <f t="shared" si="8"/>
        <v>28</v>
      </c>
      <c r="AO130" s="5">
        <f t="shared" si="11"/>
        <v>20.833333333333332</v>
      </c>
      <c r="AP130" s="5">
        <f t="shared" si="9"/>
        <v>25.857142857142861</v>
      </c>
      <c r="AQ130" s="5">
        <f t="shared" si="10"/>
        <v>33.071428571428569</v>
      </c>
    </row>
    <row r="131" spans="1:43" x14ac:dyDescent="0.45">
      <c r="A131" s="3">
        <v>35.4</v>
      </c>
      <c r="B131" s="3">
        <v>27</v>
      </c>
      <c r="C131" s="3">
        <v>22</v>
      </c>
      <c r="D131" s="3">
        <v>33</v>
      </c>
      <c r="F131" s="3">
        <v>35.4</v>
      </c>
      <c r="G131" s="3">
        <v>20</v>
      </c>
      <c r="H131" s="3">
        <v>20</v>
      </c>
      <c r="I131" s="3">
        <v>42</v>
      </c>
      <c r="K131" s="3">
        <v>35.4</v>
      </c>
      <c r="L131" s="3">
        <v>17</v>
      </c>
      <c r="M131" s="3">
        <v>19</v>
      </c>
      <c r="N131" s="3">
        <v>31</v>
      </c>
      <c r="P131" s="3">
        <v>35.4</v>
      </c>
      <c r="Q131" s="3">
        <v>23</v>
      </c>
      <c r="R131" s="3">
        <v>25</v>
      </c>
      <c r="S131" s="3">
        <v>26</v>
      </c>
      <c r="U131" s="3">
        <v>35.4</v>
      </c>
      <c r="V131" s="3">
        <v>23</v>
      </c>
      <c r="W131" s="3">
        <v>22</v>
      </c>
      <c r="X131" s="3">
        <v>42</v>
      </c>
      <c r="Z131" s="3">
        <v>35.4</v>
      </c>
      <c r="AA131" s="3">
        <v>20</v>
      </c>
      <c r="AB131" s="3">
        <v>23</v>
      </c>
      <c r="AC131" s="3">
        <v>34</v>
      </c>
      <c r="AE131" s="3">
        <v>35.4</v>
      </c>
      <c r="AF131" s="3">
        <v>113</v>
      </c>
      <c r="AG131" s="3">
        <v>154</v>
      </c>
      <c r="AH131" s="3">
        <v>145</v>
      </c>
      <c r="AJ131" s="3">
        <v>35.4</v>
      </c>
      <c r="AK131" s="5">
        <f t="shared" si="6"/>
        <v>21.666666666666668</v>
      </c>
      <c r="AL131" s="5">
        <f t="shared" si="7"/>
        <v>21.833333333333332</v>
      </c>
      <c r="AM131" s="5">
        <f t="shared" si="8"/>
        <v>34.666666666666664</v>
      </c>
      <c r="AO131" s="5">
        <f t="shared" si="11"/>
        <v>20.047619047619047</v>
      </c>
      <c r="AP131" s="5">
        <f t="shared" si="9"/>
        <v>25.357142857142854</v>
      </c>
      <c r="AQ131" s="5">
        <f t="shared" si="10"/>
        <v>31.142857142857142</v>
      </c>
    </row>
    <row r="132" spans="1:43" x14ac:dyDescent="0.45">
      <c r="A132" s="3">
        <v>35.5</v>
      </c>
      <c r="B132" s="3">
        <v>14</v>
      </c>
      <c r="C132" s="3">
        <v>27</v>
      </c>
      <c r="D132" s="3">
        <v>32</v>
      </c>
      <c r="F132" s="3">
        <v>35.5</v>
      </c>
      <c r="G132" s="3">
        <v>28</v>
      </c>
      <c r="H132" s="3">
        <v>15</v>
      </c>
      <c r="I132" s="3">
        <v>38</v>
      </c>
      <c r="K132" s="3">
        <v>35.5</v>
      </c>
      <c r="L132" s="3">
        <v>21</v>
      </c>
      <c r="M132" s="3">
        <v>20</v>
      </c>
      <c r="N132" s="3">
        <v>39</v>
      </c>
      <c r="P132" s="3">
        <v>35.5</v>
      </c>
      <c r="Q132" s="3">
        <v>22</v>
      </c>
      <c r="R132" s="3">
        <v>30</v>
      </c>
      <c r="S132" s="3">
        <v>35</v>
      </c>
      <c r="U132" s="3">
        <v>35.5</v>
      </c>
      <c r="V132" s="3">
        <v>15</v>
      </c>
      <c r="W132" s="3">
        <v>24</v>
      </c>
      <c r="X132" s="3">
        <v>38</v>
      </c>
      <c r="Z132" s="3">
        <v>35.5</v>
      </c>
      <c r="AA132" s="3">
        <v>21</v>
      </c>
      <c r="AB132" s="3">
        <v>30</v>
      </c>
      <c r="AC132" s="3">
        <v>26</v>
      </c>
      <c r="AE132" s="3">
        <v>35.5</v>
      </c>
      <c r="AF132" s="3">
        <v>90</v>
      </c>
      <c r="AG132" s="3">
        <v>129</v>
      </c>
      <c r="AH132" s="3">
        <v>171</v>
      </c>
      <c r="AJ132" s="3">
        <v>35.5</v>
      </c>
      <c r="AK132" s="5">
        <f t="shared" si="6"/>
        <v>20.166666666666668</v>
      </c>
      <c r="AL132" s="5">
        <f t="shared" si="7"/>
        <v>24.333333333333332</v>
      </c>
      <c r="AM132" s="5">
        <f t="shared" si="8"/>
        <v>34.666666666666664</v>
      </c>
      <c r="AO132" s="5">
        <f t="shared" si="11"/>
        <v>19.904761904761905</v>
      </c>
      <c r="AP132" s="5">
        <f t="shared" si="9"/>
        <v>25.047619047619044</v>
      </c>
      <c r="AQ132" s="5">
        <f t="shared" si="10"/>
        <v>29.928571428571427</v>
      </c>
    </row>
    <row r="133" spans="1:43" x14ac:dyDescent="0.45">
      <c r="A133" s="3">
        <v>35.799999999999997</v>
      </c>
      <c r="B133" s="3">
        <v>13</v>
      </c>
      <c r="C133" s="3">
        <v>27</v>
      </c>
      <c r="D133" s="3">
        <v>28</v>
      </c>
      <c r="F133" s="3">
        <v>35.799999999999997</v>
      </c>
      <c r="G133" s="3">
        <v>19</v>
      </c>
      <c r="H133" s="3">
        <v>19</v>
      </c>
      <c r="I133" s="3">
        <v>24</v>
      </c>
      <c r="K133" s="3">
        <v>35.799999999999997</v>
      </c>
      <c r="L133" s="3">
        <v>12</v>
      </c>
      <c r="M133" s="3">
        <v>32</v>
      </c>
      <c r="N133" s="3">
        <v>24</v>
      </c>
      <c r="P133" s="3">
        <v>35.799999999999997</v>
      </c>
      <c r="Q133" s="3">
        <v>12</v>
      </c>
      <c r="R133" s="3">
        <v>21</v>
      </c>
      <c r="S133" s="3">
        <v>31</v>
      </c>
      <c r="U133" s="3">
        <v>35.799999999999997</v>
      </c>
      <c r="V133" s="3">
        <v>18</v>
      </c>
      <c r="W133" s="3">
        <v>20</v>
      </c>
      <c r="X133" s="3">
        <v>35</v>
      </c>
      <c r="Z133" s="3">
        <v>35.799999999999997</v>
      </c>
      <c r="AA133" s="3">
        <v>26</v>
      </c>
      <c r="AB133" s="3">
        <v>28</v>
      </c>
      <c r="AC133" s="3">
        <v>38</v>
      </c>
      <c r="AE133" s="3">
        <v>35.799999999999997</v>
      </c>
      <c r="AF133" s="3">
        <v>112</v>
      </c>
      <c r="AG133" s="3">
        <v>153</v>
      </c>
      <c r="AH133" s="3">
        <v>159</v>
      </c>
      <c r="AJ133" s="3">
        <v>35.799999999999997</v>
      </c>
      <c r="AK133" s="5">
        <f t="shared" ref="AK133:AK154" si="15">AVERAGE(B133,G133,L133,Q133,V133,AA133)</f>
        <v>16.666666666666668</v>
      </c>
      <c r="AL133" s="5">
        <f t="shared" ref="AL133:AL154" si="16">AVERAGE(C133,H133,M133,R133,W133,AB133)</f>
        <v>24.5</v>
      </c>
      <c r="AM133" s="5">
        <f t="shared" ref="AM133:AM154" si="17">AVERAGE(D133,I133,N133,S133,X133,AC133)</f>
        <v>30</v>
      </c>
      <c r="AO133" s="5">
        <f t="shared" si="11"/>
        <v>19.452380952380956</v>
      </c>
      <c r="AP133" s="5">
        <f t="shared" si="9"/>
        <v>24.476190476190474</v>
      </c>
      <c r="AQ133" s="5">
        <f t="shared" si="10"/>
        <v>29.095238095238095</v>
      </c>
    </row>
    <row r="134" spans="1:43" x14ac:dyDescent="0.45">
      <c r="A134" s="3">
        <v>36</v>
      </c>
      <c r="B134" s="3">
        <v>18</v>
      </c>
      <c r="C134" s="3">
        <v>25</v>
      </c>
      <c r="D134" s="3">
        <v>25</v>
      </c>
      <c r="F134" s="3">
        <v>36</v>
      </c>
      <c r="G134" s="3">
        <v>19</v>
      </c>
      <c r="H134" s="3">
        <v>31</v>
      </c>
      <c r="I134" s="3">
        <v>15</v>
      </c>
      <c r="K134" s="3">
        <v>36</v>
      </c>
      <c r="L134" s="3">
        <v>22</v>
      </c>
      <c r="M134" s="3">
        <v>25</v>
      </c>
      <c r="N134" s="3">
        <v>22</v>
      </c>
      <c r="P134" s="3">
        <v>36</v>
      </c>
      <c r="Q134" s="3">
        <v>19</v>
      </c>
      <c r="R134" s="3">
        <v>23</v>
      </c>
      <c r="S134" s="3">
        <v>23</v>
      </c>
      <c r="U134" s="3">
        <v>36</v>
      </c>
      <c r="V134" s="3">
        <v>14</v>
      </c>
      <c r="W134" s="3">
        <v>24</v>
      </c>
      <c r="X134" s="3">
        <v>23</v>
      </c>
      <c r="Z134" s="3">
        <v>36</v>
      </c>
      <c r="AA134" s="3">
        <v>20</v>
      </c>
      <c r="AB134" s="3">
        <v>26</v>
      </c>
      <c r="AC134" s="3">
        <v>29</v>
      </c>
      <c r="AE134" s="3">
        <v>36</v>
      </c>
      <c r="AF134" s="3">
        <v>107</v>
      </c>
      <c r="AG134" s="3">
        <v>130</v>
      </c>
      <c r="AH134" s="3">
        <v>176</v>
      </c>
      <c r="AJ134" s="3">
        <v>36</v>
      </c>
      <c r="AK134" s="5">
        <f t="shared" si="15"/>
        <v>18.666666666666668</v>
      </c>
      <c r="AL134" s="5">
        <f t="shared" si="16"/>
        <v>25.666666666666668</v>
      </c>
      <c r="AM134" s="5">
        <f t="shared" si="17"/>
        <v>22.833333333333332</v>
      </c>
      <c r="AO134" s="5">
        <f t="shared" si="11"/>
        <v>19.309523809523814</v>
      </c>
      <c r="AP134" s="5">
        <f t="shared" si="9"/>
        <v>23.357142857142854</v>
      </c>
      <c r="AQ134" s="5">
        <f t="shared" si="10"/>
        <v>29</v>
      </c>
    </row>
    <row r="135" spans="1:43" x14ac:dyDescent="0.45">
      <c r="A135" s="3">
        <v>36.200000000000003</v>
      </c>
      <c r="B135" s="3">
        <v>10</v>
      </c>
      <c r="C135" s="3">
        <v>19</v>
      </c>
      <c r="D135" s="3">
        <v>26</v>
      </c>
      <c r="F135" s="3">
        <v>36.200000000000003</v>
      </c>
      <c r="G135" s="3">
        <v>22</v>
      </c>
      <c r="H135" s="3">
        <v>17</v>
      </c>
      <c r="I135" s="3">
        <v>25</v>
      </c>
      <c r="K135" s="3">
        <v>36.200000000000003</v>
      </c>
      <c r="L135" s="3">
        <v>22</v>
      </c>
      <c r="M135" s="3">
        <v>22</v>
      </c>
      <c r="N135" s="3">
        <v>39</v>
      </c>
      <c r="P135" s="3">
        <v>36.200000000000003</v>
      </c>
      <c r="Q135" s="3">
        <v>26</v>
      </c>
      <c r="R135" s="3">
        <v>27</v>
      </c>
      <c r="S135" s="3">
        <v>24</v>
      </c>
      <c r="U135" s="3">
        <v>36.200000000000003</v>
      </c>
      <c r="V135" s="3">
        <v>16</v>
      </c>
      <c r="W135" s="3">
        <v>32</v>
      </c>
      <c r="X135" s="3">
        <v>19</v>
      </c>
      <c r="Z135" s="3">
        <v>36.200000000000003</v>
      </c>
      <c r="AA135" s="3">
        <v>19</v>
      </c>
      <c r="AB135" s="3">
        <v>27</v>
      </c>
      <c r="AC135" s="3">
        <v>24</v>
      </c>
      <c r="AE135" s="3">
        <v>36.200000000000003</v>
      </c>
      <c r="AF135" s="3">
        <v>105</v>
      </c>
      <c r="AG135" s="3">
        <v>127</v>
      </c>
      <c r="AH135" s="3">
        <v>151</v>
      </c>
      <c r="AJ135" s="3">
        <v>36.200000000000003</v>
      </c>
      <c r="AK135" s="5">
        <f t="shared" si="15"/>
        <v>19.166666666666668</v>
      </c>
      <c r="AL135" s="5">
        <f t="shared" si="16"/>
        <v>24</v>
      </c>
      <c r="AM135" s="5">
        <f t="shared" si="17"/>
        <v>26.166666666666668</v>
      </c>
      <c r="AO135" s="5">
        <f t="shared" si="11"/>
        <v>18.595238095238095</v>
      </c>
      <c r="AP135" s="5">
        <f t="shared" si="9"/>
        <v>23.428571428571427</v>
      </c>
      <c r="AQ135" s="5">
        <f t="shared" si="10"/>
        <v>27.190476190476193</v>
      </c>
    </row>
    <row r="136" spans="1:43" x14ac:dyDescent="0.45">
      <c r="A136" s="3">
        <v>36.4</v>
      </c>
      <c r="B136" s="3">
        <v>24</v>
      </c>
      <c r="C136" s="3">
        <v>27</v>
      </c>
      <c r="D136" s="3">
        <v>21</v>
      </c>
      <c r="F136" s="3">
        <v>36.4</v>
      </c>
      <c r="G136" s="3">
        <v>17</v>
      </c>
      <c r="H136" s="3">
        <v>25</v>
      </c>
      <c r="I136" s="3">
        <v>22</v>
      </c>
      <c r="K136" s="3">
        <v>36.4</v>
      </c>
      <c r="L136" s="3">
        <v>14</v>
      </c>
      <c r="M136" s="3">
        <v>15</v>
      </c>
      <c r="N136" s="3">
        <v>35</v>
      </c>
      <c r="P136" s="3">
        <v>36.4</v>
      </c>
      <c r="Q136" s="3">
        <v>21</v>
      </c>
      <c r="R136" s="3">
        <v>21</v>
      </c>
      <c r="S136" s="3">
        <v>28</v>
      </c>
      <c r="U136" s="3">
        <v>36.4</v>
      </c>
      <c r="V136" s="3">
        <v>24</v>
      </c>
      <c r="W136" s="3">
        <v>19</v>
      </c>
      <c r="X136" s="3">
        <v>27</v>
      </c>
      <c r="Z136" s="3">
        <v>36.4</v>
      </c>
      <c r="AA136" s="3">
        <v>17</v>
      </c>
      <c r="AB136" s="3">
        <v>19</v>
      </c>
      <c r="AC136" s="3">
        <v>31</v>
      </c>
      <c r="AE136" s="3">
        <v>36.4</v>
      </c>
      <c r="AF136" s="3">
        <v>95</v>
      </c>
      <c r="AG136" s="3">
        <v>120</v>
      </c>
      <c r="AH136" s="3">
        <v>138</v>
      </c>
      <c r="AJ136" s="3">
        <v>36.4</v>
      </c>
      <c r="AK136" s="5">
        <f t="shared" si="15"/>
        <v>19.5</v>
      </c>
      <c r="AL136" s="5">
        <f t="shared" si="16"/>
        <v>21</v>
      </c>
      <c r="AM136" s="5">
        <f t="shared" si="17"/>
        <v>27.333333333333332</v>
      </c>
      <c r="AO136" s="5">
        <f t="shared" si="11"/>
        <v>17.833333333333332</v>
      </c>
      <c r="AP136" s="5">
        <f t="shared" ref="AP136:AP150" si="18">AVERAGE(AL133:AL139)</f>
        <v>22.761904761904763</v>
      </c>
      <c r="AQ136" s="5">
        <f t="shared" ref="AQ136:AQ151" si="19">AVERAGE(AM133:AM139)</f>
        <v>25.619047619047617</v>
      </c>
    </row>
    <row r="137" spans="1:43" x14ac:dyDescent="0.45">
      <c r="A137" s="3">
        <v>36.5</v>
      </c>
      <c r="B137" s="3">
        <v>24</v>
      </c>
      <c r="C137" s="3">
        <v>15</v>
      </c>
      <c r="D137" s="3">
        <v>23</v>
      </c>
      <c r="F137" s="3">
        <v>36.5</v>
      </c>
      <c r="G137" s="3">
        <v>21</v>
      </c>
      <c r="H137" s="3">
        <v>21</v>
      </c>
      <c r="I137" s="3">
        <v>34</v>
      </c>
      <c r="K137" s="3">
        <v>36.5</v>
      </c>
      <c r="L137" s="3">
        <v>19</v>
      </c>
      <c r="M137" s="3">
        <v>27</v>
      </c>
      <c r="N137" s="3">
        <v>26</v>
      </c>
      <c r="P137" s="3">
        <v>36.5</v>
      </c>
      <c r="Q137" s="3">
        <v>20</v>
      </c>
      <c r="R137" s="3">
        <v>22</v>
      </c>
      <c r="S137" s="3">
        <v>30</v>
      </c>
      <c r="U137" s="3">
        <v>36.5</v>
      </c>
      <c r="V137" s="3">
        <v>15</v>
      </c>
      <c r="W137" s="3">
        <v>23</v>
      </c>
      <c r="X137" s="3">
        <v>29</v>
      </c>
      <c r="Z137" s="3">
        <v>36.5</v>
      </c>
      <c r="AA137" s="3">
        <v>17</v>
      </c>
      <c r="AB137" s="3">
        <v>25</v>
      </c>
      <c r="AC137" s="3">
        <v>22</v>
      </c>
      <c r="AE137" s="3">
        <v>36.5</v>
      </c>
      <c r="AF137" s="3">
        <v>89</v>
      </c>
      <c r="AG137" s="3">
        <v>111</v>
      </c>
      <c r="AH137" s="3">
        <v>139</v>
      </c>
      <c r="AJ137" s="3">
        <v>36.5</v>
      </c>
      <c r="AK137" s="5">
        <f t="shared" si="15"/>
        <v>19.333333333333332</v>
      </c>
      <c r="AL137" s="5">
        <f t="shared" si="16"/>
        <v>22.166666666666668</v>
      </c>
      <c r="AM137" s="5">
        <f t="shared" si="17"/>
        <v>27.333333333333332</v>
      </c>
      <c r="AO137" s="5">
        <f t="shared" ref="AO137:AO150" si="20">AVERAGE(AK134:AK140)</f>
        <v>17.5</v>
      </c>
      <c r="AP137" s="5">
        <f t="shared" si="18"/>
        <v>21.880952380952383</v>
      </c>
      <c r="AQ137" s="5">
        <f t="shared" si="19"/>
        <v>24.833333333333332</v>
      </c>
    </row>
    <row r="138" spans="1:43" x14ac:dyDescent="0.45">
      <c r="A138" s="3">
        <v>36.799999999999997</v>
      </c>
      <c r="B138" s="3">
        <v>17</v>
      </c>
      <c r="C138" s="3">
        <v>20</v>
      </c>
      <c r="D138" s="3">
        <v>16</v>
      </c>
      <c r="F138" s="3">
        <v>36.799999999999997</v>
      </c>
      <c r="G138" s="3">
        <v>14</v>
      </c>
      <c r="H138" s="3">
        <v>16</v>
      </c>
      <c r="I138" s="3">
        <v>24</v>
      </c>
      <c r="K138" s="3">
        <v>36.799999999999997</v>
      </c>
      <c r="L138" s="3">
        <v>17</v>
      </c>
      <c r="M138" s="3">
        <v>17</v>
      </c>
      <c r="N138" s="3">
        <v>27</v>
      </c>
      <c r="P138" s="3">
        <v>36.799999999999997</v>
      </c>
      <c r="Q138" s="3">
        <v>15</v>
      </c>
      <c r="R138" s="3">
        <v>29</v>
      </c>
      <c r="S138" s="3">
        <v>20</v>
      </c>
      <c r="U138" s="3">
        <v>36.799999999999997</v>
      </c>
      <c r="V138" s="3">
        <v>18</v>
      </c>
      <c r="W138" s="3">
        <v>28</v>
      </c>
      <c r="X138" s="3">
        <v>26</v>
      </c>
      <c r="Z138" s="3">
        <v>36.799999999999997</v>
      </c>
      <c r="AA138" s="3">
        <v>19</v>
      </c>
      <c r="AB138" s="3">
        <v>24</v>
      </c>
      <c r="AC138" s="3">
        <v>19</v>
      </c>
      <c r="AE138" s="3">
        <v>36.799999999999997</v>
      </c>
      <c r="AF138" s="3">
        <v>89</v>
      </c>
      <c r="AG138" s="3">
        <v>143</v>
      </c>
      <c r="AH138" s="3">
        <v>137</v>
      </c>
      <c r="AJ138" s="3">
        <v>36.799999999999997</v>
      </c>
      <c r="AK138" s="5">
        <f t="shared" si="15"/>
        <v>16.666666666666668</v>
      </c>
      <c r="AL138" s="5">
        <f t="shared" si="16"/>
        <v>22.333333333333332</v>
      </c>
      <c r="AM138" s="5">
        <f t="shared" si="17"/>
        <v>22</v>
      </c>
      <c r="AO138" s="5">
        <f t="shared" si="20"/>
        <v>16.428571428571427</v>
      </c>
      <c r="AP138" s="5">
        <f t="shared" si="18"/>
        <v>21.190476190476193</v>
      </c>
      <c r="AQ138" s="5">
        <f t="shared" si="19"/>
        <v>25.166666666666664</v>
      </c>
    </row>
    <row r="139" spans="1:43" x14ac:dyDescent="0.45">
      <c r="A139" s="3">
        <v>37</v>
      </c>
      <c r="B139" s="3">
        <v>16</v>
      </c>
      <c r="C139" s="3">
        <v>25</v>
      </c>
      <c r="D139" s="3">
        <v>25</v>
      </c>
      <c r="F139" s="3">
        <v>37</v>
      </c>
      <c r="G139" s="3">
        <v>10</v>
      </c>
      <c r="H139" s="3">
        <v>17</v>
      </c>
      <c r="I139" s="3">
        <v>24</v>
      </c>
      <c r="K139" s="3">
        <v>37</v>
      </c>
      <c r="L139" s="3">
        <v>12</v>
      </c>
      <c r="M139" s="3">
        <v>17</v>
      </c>
      <c r="N139" s="3">
        <v>23</v>
      </c>
      <c r="P139" s="3">
        <v>37</v>
      </c>
      <c r="Q139" s="3">
        <v>16</v>
      </c>
      <c r="R139" s="3">
        <v>21</v>
      </c>
      <c r="S139" s="3">
        <v>29</v>
      </c>
      <c r="U139" s="3">
        <v>37</v>
      </c>
      <c r="V139" s="3">
        <v>16</v>
      </c>
      <c r="W139" s="3">
        <v>18</v>
      </c>
      <c r="X139" s="3">
        <v>17</v>
      </c>
      <c r="Z139" s="3">
        <v>37</v>
      </c>
      <c r="AA139" s="3">
        <v>19</v>
      </c>
      <c r="AB139" s="3">
        <v>20</v>
      </c>
      <c r="AC139" s="3">
        <v>24</v>
      </c>
      <c r="AE139" s="3">
        <v>37</v>
      </c>
      <c r="AF139" s="3">
        <v>78</v>
      </c>
      <c r="AG139" s="3">
        <v>116</v>
      </c>
      <c r="AH139" s="3">
        <v>139</v>
      </c>
      <c r="AJ139" s="3">
        <v>37</v>
      </c>
      <c r="AK139" s="5">
        <f t="shared" si="15"/>
        <v>14.833333333333334</v>
      </c>
      <c r="AL139" s="5">
        <f t="shared" si="16"/>
        <v>19.666666666666668</v>
      </c>
      <c r="AM139" s="5">
        <f t="shared" si="17"/>
        <v>23.666666666666668</v>
      </c>
      <c r="AO139" s="5">
        <f t="shared" si="20"/>
        <v>15.666666666666666</v>
      </c>
      <c r="AP139" s="5">
        <f t="shared" si="18"/>
        <v>20.833333333333332</v>
      </c>
      <c r="AQ139" s="5">
        <f t="shared" si="19"/>
        <v>24.976190476190478</v>
      </c>
    </row>
    <row r="140" spans="1:43" x14ac:dyDescent="0.45">
      <c r="A140" s="3">
        <v>37.200000000000003</v>
      </c>
      <c r="B140" s="3">
        <v>14</v>
      </c>
      <c r="C140" s="3">
        <v>19</v>
      </c>
      <c r="D140" s="3">
        <v>21</v>
      </c>
      <c r="F140" s="3">
        <v>37.200000000000003</v>
      </c>
      <c r="G140" s="3">
        <v>12</v>
      </c>
      <c r="H140" s="3">
        <v>19</v>
      </c>
      <c r="I140" s="3">
        <v>21</v>
      </c>
      <c r="K140" s="3">
        <v>37.200000000000003</v>
      </c>
      <c r="L140" s="3">
        <v>8</v>
      </c>
      <c r="M140" s="3">
        <v>15</v>
      </c>
      <c r="N140" s="3">
        <v>36</v>
      </c>
      <c r="P140" s="3">
        <v>37.200000000000003</v>
      </c>
      <c r="Q140" s="3">
        <v>21</v>
      </c>
      <c r="R140" s="3">
        <v>14</v>
      </c>
      <c r="S140" s="3">
        <v>21</v>
      </c>
      <c r="U140" s="3">
        <v>37.200000000000003</v>
      </c>
      <c r="V140" s="3">
        <v>21</v>
      </c>
      <c r="W140" s="3">
        <v>24</v>
      </c>
      <c r="X140" s="3">
        <v>23</v>
      </c>
      <c r="Z140" s="3">
        <v>37.200000000000003</v>
      </c>
      <c r="AA140" s="3">
        <v>10</v>
      </c>
      <c r="AB140" s="3">
        <v>19</v>
      </c>
      <c r="AC140" s="3">
        <v>25</v>
      </c>
      <c r="AE140" s="3">
        <v>37.200000000000003</v>
      </c>
      <c r="AF140" s="3">
        <v>76</v>
      </c>
      <c r="AG140" s="3">
        <v>118</v>
      </c>
      <c r="AH140" s="3">
        <v>138</v>
      </c>
      <c r="AJ140" s="3">
        <v>37.200000000000003</v>
      </c>
      <c r="AK140" s="5">
        <f t="shared" si="15"/>
        <v>14.333333333333334</v>
      </c>
      <c r="AL140" s="5">
        <f t="shared" si="16"/>
        <v>18.333333333333332</v>
      </c>
      <c r="AM140" s="5">
        <f t="shared" si="17"/>
        <v>24.5</v>
      </c>
      <c r="AO140" s="5">
        <f t="shared" si="20"/>
        <v>15.547619047619049</v>
      </c>
      <c r="AP140" s="5">
        <f t="shared" si="18"/>
        <v>20.833333333333332</v>
      </c>
      <c r="AQ140" s="5">
        <f t="shared" si="19"/>
        <v>24.714285714285715</v>
      </c>
    </row>
    <row r="141" spans="1:43" x14ac:dyDescent="0.45">
      <c r="A141" s="3">
        <v>37.4</v>
      </c>
      <c r="B141" s="3">
        <v>10</v>
      </c>
      <c r="C141" s="3">
        <v>15</v>
      </c>
      <c r="D141" s="3">
        <v>23</v>
      </c>
      <c r="F141" s="3">
        <v>37.4</v>
      </c>
      <c r="G141" s="3">
        <v>10</v>
      </c>
      <c r="H141" s="3">
        <v>19</v>
      </c>
      <c r="I141" s="3">
        <v>25</v>
      </c>
      <c r="K141" s="3">
        <v>37.4</v>
      </c>
      <c r="L141" s="3">
        <v>12</v>
      </c>
      <c r="M141" s="3">
        <v>22</v>
      </c>
      <c r="N141" s="3">
        <v>27</v>
      </c>
      <c r="P141" s="3">
        <v>37.4</v>
      </c>
      <c r="Q141" s="3">
        <v>10</v>
      </c>
      <c r="R141" s="3">
        <v>22</v>
      </c>
      <c r="S141" s="3">
        <v>25</v>
      </c>
      <c r="U141" s="3">
        <v>37.4</v>
      </c>
      <c r="V141" s="3">
        <v>12</v>
      </c>
      <c r="W141" s="3">
        <v>20</v>
      </c>
      <c r="X141" s="3">
        <v>22</v>
      </c>
      <c r="Z141" s="3">
        <v>37.4</v>
      </c>
      <c r="AA141" s="3">
        <v>13</v>
      </c>
      <c r="AB141" s="3">
        <v>27</v>
      </c>
      <c r="AC141" s="3">
        <v>29</v>
      </c>
      <c r="AE141" s="3">
        <v>37.4</v>
      </c>
      <c r="AF141" s="3">
        <v>80</v>
      </c>
      <c r="AG141" s="3">
        <v>102</v>
      </c>
      <c r="AH141" s="3">
        <v>134</v>
      </c>
      <c r="AJ141" s="3">
        <v>37.4</v>
      </c>
      <c r="AK141" s="5">
        <f t="shared" si="15"/>
        <v>11.166666666666666</v>
      </c>
      <c r="AL141" s="5">
        <f t="shared" si="16"/>
        <v>20.833333333333332</v>
      </c>
      <c r="AM141" s="5">
        <f t="shared" si="17"/>
        <v>25.166666666666668</v>
      </c>
      <c r="AO141" s="5">
        <f t="shared" si="20"/>
        <v>15.142857142857142</v>
      </c>
      <c r="AP141" s="5">
        <f t="shared" si="18"/>
        <v>20.166666666666664</v>
      </c>
      <c r="AQ141" s="5">
        <f t="shared" si="19"/>
        <v>24.095238095238098</v>
      </c>
    </row>
    <row r="142" spans="1:43" x14ac:dyDescent="0.45">
      <c r="A142" s="3">
        <v>37.5</v>
      </c>
      <c r="B142" s="3">
        <v>14</v>
      </c>
      <c r="C142" s="3">
        <v>13</v>
      </c>
      <c r="D142" s="3">
        <v>25</v>
      </c>
      <c r="F142" s="3">
        <v>37.5</v>
      </c>
      <c r="G142" s="3">
        <v>17</v>
      </c>
      <c r="H142" s="3">
        <v>26</v>
      </c>
      <c r="I142" s="3">
        <v>22</v>
      </c>
      <c r="K142" s="3">
        <v>37.5</v>
      </c>
      <c r="L142" s="3">
        <v>15</v>
      </c>
      <c r="M142" s="3">
        <v>27</v>
      </c>
      <c r="N142" s="3">
        <v>21</v>
      </c>
      <c r="P142" s="3">
        <v>37.5</v>
      </c>
      <c r="Q142" s="3">
        <v>9</v>
      </c>
      <c r="R142" s="3">
        <v>27</v>
      </c>
      <c r="S142" s="3">
        <v>27</v>
      </c>
      <c r="U142" s="3">
        <v>37.5</v>
      </c>
      <c r="V142" s="3">
        <v>11</v>
      </c>
      <c r="W142" s="3">
        <v>21</v>
      </c>
      <c r="X142" s="3">
        <v>26</v>
      </c>
      <c r="Z142" s="3">
        <v>37.5</v>
      </c>
      <c r="AA142" s="3">
        <v>17</v>
      </c>
      <c r="AB142" s="3">
        <v>15</v>
      </c>
      <c r="AC142" s="3">
        <v>28</v>
      </c>
      <c r="AE142" s="3">
        <v>37.5</v>
      </c>
      <c r="AF142" s="3">
        <v>91</v>
      </c>
      <c r="AG142" s="3">
        <v>124</v>
      </c>
      <c r="AH142" s="3">
        <v>139</v>
      </c>
      <c r="AJ142" s="3">
        <v>37.5</v>
      </c>
      <c r="AK142" s="5">
        <f t="shared" si="15"/>
        <v>13.833333333333334</v>
      </c>
      <c r="AL142" s="5">
        <f t="shared" si="16"/>
        <v>21.5</v>
      </c>
      <c r="AM142" s="5">
        <f t="shared" si="17"/>
        <v>24.833333333333332</v>
      </c>
      <c r="AO142" s="5">
        <f t="shared" si="20"/>
        <v>15.404761904761907</v>
      </c>
      <c r="AP142" s="5">
        <f t="shared" si="18"/>
        <v>19.357142857142858</v>
      </c>
      <c r="AQ142" s="5">
        <f t="shared" si="19"/>
        <v>24.11904761904762</v>
      </c>
    </row>
    <row r="143" spans="1:43" x14ac:dyDescent="0.45">
      <c r="A143" s="3">
        <v>37.799999999999997</v>
      </c>
      <c r="B143" s="3">
        <v>18</v>
      </c>
      <c r="C143" s="3">
        <v>20</v>
      </c>
      <c r="D143" s="3">
        <v>24</v>
      </c>
      <c r="F143" s="3">
        <v>37.799999999999997</v>
      </c>
      <c r="G143" s="3">
        <v>18</v>
      </c>
      <c r="H143" s="3">
        <v>17</v>
      </c>
      <c r="I143" s="3">
        <v>24</v>
      </c>
      <c r="K143" s="3">
        <v>37.799999999999997</v>
      </c>
      <c r="L143" s="3">
        <v>20</v>
      </c>
      <c r="M143" s="3">
        <v>16</v>
      </c>
      <c r="N143" s="3">
        <v>31</v>
      </c>
      <c r="P143" s="3">
        <v>37.799999999999997</v>
      </c>
      <c r="Q143" s="3">
        <v>15</v>
      </c>
      <c r="R143" s="3">
        <v>28</v>
      </c>
      <c r="S143" s="3">
        <v>24</v>
      </c>
      <c r="U143" s="3">
        <v>37.799999999999997</v>
      </c>
      <c r="V143" s="3">
        <v>21</v>
      </c>
      <c r="W143" s="3">
        <v>20</v>
      </c>
      <c r="X143" s="3">
        <v>25</v>
      </c>
      <c r="Z143" s="3">
        <v>37.799999999999997</v>
      </c>
      <c r="AA143" s="3">
        <v>20</v>
      </c>
      <c r="AB143" s="3">
        <v>25</v>
      </c>
      <c r="AC143" s="3">
        <v>25</v>
      </c>
      <c r="AE143" s="3">
        <v>37.799999999999997</v>
      </c>
      <c r="AF143" s="3">
        <v>82</v>
      </c>
      <c r="AG143" s="3">
        <v>117</v>
      </c>
      <c r="AH143" s="3">
        <v>126</v>
      </c>
      <c r="AJ143" s="3">
        <v>37.799999999999997</v>
      </c>
      <c r="AK143" s="5">
        <f t="shared" si="15"/>
        <v>18.666666666666668</v>
      </c>
      <c r="AL143" s="5">
        <f t="shared" si="16"/>
        <v>21</v>
      </c>
      <c r="AM143" s="5">
        <f t="shared" si="17"/>
        <v>25.5</v>
      </c>
      <c r="AO143" s="5">
        <f t="shared" si="20"/>
        <v>15.952380952380953</v>
      </c>
      <c r="AP143" s="5">
        <f t="shared" si="18"/>
        <v>19.714285714285715</v>
      </c>
      <c r="AQ143" s="5">
        <f t="shared" si="19"/>
        <v>24.214285714285715</v>
      </c>
    </row>
    <row r="144" spans="1:43" x14ac:dyDescent="0.45">
      <c r="A144" s="3">
        <v>38</v>
      </c>
      <c r="B144" s="3">
        <v>17</v>
      </c>
      <c r="C144" s="3">
        <v>17</v>
      </c>
      <c r="D144" s="3">
        <v>25</v>
      </c>
      <c r="F144" s="3">
        <v>38</v>
      </c>
      <c r="G144" s="3">
        <v>22</v>
      </c>
      <c r="H144" s="3">
        <v>15</v>
      </c>
      <c r="I144" s="3">
        <v>22</v>
      </c>
      <c r="K144" s="3">
        <v>38</v>
      </c>
      <c r="L144" s="3">
        <v>17</v>
      </c>
      <c r="M144" s="3">
        <v>22</v>
      </c>
      <c r="N144" s="3">
        <v>19</v>
      </c>
      <c r="P144" s="3">
        <v>38</v>
      </c>
      <c r="Q144" s="3">
        <v>10</v>
      </c>
      <c r="R144" s="3">
        <v>14</v>
      </c>
      <c r="S144" s="3">
        <v>20</v>
      </c>
      <c r="U144" s="3">
        <v>38</v>
      </c>
      <c r="V144" s="3">
        <v>15</v>
      </c>
      <c r="W144" s="3">
        <v>20</v>
      </c>
      <c r="X144" s="3">
        <v>23</v>
      </c>
      <c r="Z144" s="3">
        <v>38</v>
      </c>
      <c r="AA144" s="3">
        <v>18</v>
      </c>
      <c r="AB144" s="3">
        <v>17</v>
      </c>
      <c r="AC144" s="3">
        <v>29</v>
      </c>
      <c r="AE144" s="3">
        <v>38</v>
      </c>
      <c r="AF144" s="3">
        <v>83</v>
      </c>
      <c r="AG144" s="3">
        <v>127</v>
      </c>
      <c r="AH144" s="3">
        <v>157</v>
      </c>
      <c r="AJ144" s="3">
        <v>38</v>
      </c>
      <c r="AK144" s="5">
        <f t="shared" si="15"/>
        <v>16.5</v>
      </c>
      <c r="AL144" s="5">
        <f t="shared" si="16"/>
        <v>17.5</v>
      </c>
      <c r="AM144" s="5">
        <f t="shared" si="17"/>
        <v>23</v>
      </c>
      <c r="AO144" s="5">
        <f t="shared" si="20"/>
        <v>16.333333333333336</v>
      </c>
      <c r="AP144" s="5">
        <f t="shared" si="18"/>
        <v>20.404761904761905</v>
      </c>
      <c r="AQ144" s="5">
        <f t="shared" si="19"/>
        <v>24.190476190476193</v>
      </c>
    </row>
    <row r="145" spans="1:43" x14ac:dyDescent="0.45">
      <c r="A145" s="3">
        <v>38.200000000000003</v>
      </c>
      <c r="B145" s="3">
        <v>11</v>
      </c>
      <c r="C145" s="3">
        <v>22</v>
      </c>
      <c r="D145" s="3">
        <v>14</v>
      </c>
      <c r="F145" s="3">
        <v>38.200000000000003</v>
      </c>
      <c r="G145" s="3">
        <v>25</v>
      </c>
      <c r="H145" s="3">
        <v>16</v>
      </c>
      <c r="I145" s="3">
        <v>26</v>
      </c>
      <c r="K145" s="3">
        <v>38.200000000000003</v>
      </c>
      <c r="L145" s="3">
        <v>10</v>
      </c>
      <c r="M145" s="3">
        <v>22</v>
      </c>
      <c r="N145" s="3">
        <v>26</v>
      </c>
      <c r="P145" s="3">
        <v>38.200000000000003</v>
      </c>
      <c r="Q145" s="3">
        <v>25</v>
      </c>
      <c r="R145" s="3">
        <v>18</v>
      </c>
      <c r="S145" s="3">
        <v>26</v>
      </c>
      <c r="U145" s="3">
        <v>38.200000000000003</v>
      </c>
      <c r="V145" s="3">
        <v>19</v>
      </c>
      <c r="W145" s="3">
        <v>10</v>
      </c>
      <c r="X145" s="3">
        <v>23</v>
      </c>
      <c r="Z145" s="3">
        <v>38.200000000000003</v>
      </c>
      <c r="AA145" s="3">
        <v>21</v>
      </c>
      <c r="AB145" s="3">
        <v>12</v>
      </c>
      <c r="AC145" s="3">
        <v>18</v>
      </c>
      <c r="AE145" s="3">
        <v>38.200000000000003</v>
      </c>
      <c r="AF145" s="3">
        <v>81</v>
      </c>
      <c r="AG145" s="3">
        <v>111</v>
      </c>
      <c r="AH145" s="3">
        <v>120</v>
      </c>
      <c r="AJ145" s="3">
        <v>38.200000000000003</v>
      </c>
      <c r="AK145" s="5">
        <f t="shared" si="15"/>
        <v>18.5</v>
      </c>
      <c r="AL145" s="5">
        <f t="shared" si="16"/>
        <v>16.666666666666668</v>
      </c>
      <c r="AM145" s="5">
        <f t="shared" si="17"/>
        <v>22.166666666666668</v>
      </c>
      <c r="AO145" s="5">
        <f t="shared" si="20"/>
        <v>16.928571428571427</v>
      </c>
      <c r="AP145" s="5">
        <f t="shared" si="18"/>
        <v>19.428571428571427</v>
      </c>
      <c r="AQ145" s="5">
        <f t="shared" si="19"/>
        <v>23.523809523809522</v>
      </c>
    </row>
    <row r="146" spans="1:43" x14ac:dyDescent="0.45">
      <c r="A146" s="3">
        <v>38.4</v>
      </c>
      <c r="B146" s="3">
        <v>15</v>
      </c>
      <c r="C146" s="3">
        <v>15</v>
      </c>
      <c r="D146" s="3">
        <v>31</v>
      </c>
      <c r="F146" s="3">
        <v>38.4</v>
      </c>
      <c r="G146" s="3">
        <v>15</v>
      </c>
      <c r="H146" s="3">
        <v>26</v>
      </c>
      <c r="I146" s="3">
        <v>22</v>
      </c>
      <c r="K146" s="3">
        <v>38.4</v>
      </c>
      <c r="L146" s="3">
        <v>23</v>
      </c>
      <c r="M146" s="3">
        <v>23</v>
      </c>
      <c r="N146" s="3">
        <v>21</v>
      </c>
      <c r="P146" s="3">
        <v>38.4</v>
      </c>
      <c r="Q146" s="3">
        <v>20</v>
      </c>
      <c r="R146" s="3">
        <v>18</v>
      </c>
      <c r="S146" s="3">
        <v>13</v>
      </c>
      <c r="U146" s="3">
        <v>38.4</v>
      </c>
      <c r="V146" s="3">
        <v>15</v>
      </c>
      <c r="W146" s="3">
        <v>29</v>
      </c>
      <c r="X146" s="3">
        <v>24</v>
      </c>
      <c r="Z146" s="3">
        <v>38.4</v>
      </c>
      <c r="AA146" s="3">
        <v>24</v>
      </c>
      <c r="AB146" s="3">
        <v>22</v>
      </c>
      <c r="AC146" s="3">
        <v>35</v>
      </c>
      <c r="AE146" s="3">
        <v>38.4</v>
      </c>
      <c r="AF146" s="3">
        <v>80</v>
      </c>
      <c r="AG146" s="3">
        <v>95</v>
      </c>
      <c r="AH146" s="3">
        <v>142</v>
      </c>
      <c r="AJ146" s="3">
        <v>38.4</v>
      </c>
      <c r="AK146" s="5">
        <f t="shared" si="15"/>
        <v>18.666666666666668</v>
      </c>
      <c r="AL146" s="5">
        <f t="shared" si="16"/>
        <v>22.166666666666668</v>
      </c>
      <c r="AM146" s="5">
        <f t="shared" si="17"/>
        <v>24.333333333333332</v>
      </c>
      <c r="AO146" s="5">
        <f t="shared" si="20"/>
        <v>16.761904761904763</v>
      </c>
      <c r="AP146" s="5">
        <f t="shared" si="18"/>
        <v>18.547619047619047</v>
      </c>
      <c r="AQ146" s="5">
        <f t="shared" si="19"/>
        <v>23.499999999999996</v>
      </c>
    </row>
    <row r="147" spans="1:43" x14ac:dyDescent="0.45">
      <c r="A147" s="3">
        <v>38.5</v>
      </c>
      <c r="B147" s="3">
        <v>17</v>
      </c>
      <c r="C147" s="3">
        <v>22</v>
      </c>
      <c r="D147" s="3">
        <v>23</v>
      </c>
      <c r="F147" s="3">
        <v>38.5</v>
      </c>
      <c r="G147" s="3">
        <v>14</v>
      </c>
      <c r="H147" s="3">
        <v>18</v>
      </c>
      <c r="I147" s="3">
        <v>21</v>
      </c>
      <c r="K147" s="3">
        <v>38.5</v>
      </c>
      <c r="L147" s="3">
        <v>15</v>
      </c>
      <c r="M147" s="3">
        <v>32</v>
      </c>
      <c r="N147" s="3">
        <v>24</v>
      </c>
      <c r="P147" s="3">
        <v>38.5</v>
      </c>
      <c r="Q147" s="3">
        <v>23</v>
      </c>
      <c r="R147" s="3">
        <v>20</v>
      </c>
      <c r="S147" s="3">
        <v>30</v>
      </c>
      <c r="U147" s="3">
        <v>38.5</v>
      </c>
      <c r="V147" s="3">
        <v>21</v>
      </c>
      <c r="W147" s="3">
        <v>20</v>
      </c>
      <c r="X147" s="3">
        <v>27</v>
      </c>
      <c r="Z147" s="3">
        <v>38.5</v>
      </c>
      <c r="AA147" s="3">
        <v>12</v>
      </c>
      <c r="AB147" s="3">
        <v>27</v>
      </c>
      <c r="AC147" s="3">
        <v>21</v>
      </c>
      <c r="AE147" s="3">
        <v>38.5</v>
      </c>
      <c r="AF147" s="3">
        <v>75</v>
      </c>
      <c r="AG147" s="3">
        <v>116</v>
      </c>
      <c r="AH147" s="3">
        <v>119</v>
      </c>
      <c r="AJ147" s="3">
        <v>38.5</v>
      </c>
      <c r="AK147" s="5">
        <f t="shared" si="15"/>
        <v>17</v>
      </c>
      <c r="AL147" s="5">
        <f t="shared" si="16"/>
        <v>23.166666666666668</v>
      </c>
      <c r="AM147" s="5">
        <f t="shared" si="17"/>
        <v>24.333333333333332</v>
      </c>
      <c r="AO147" s="5">
        <f t="shared" si="20"/>
        <v>16.190476190476193</v>
      </c>
      <c r="AP147" s="5">
        <f t="shared" si="18"/>
        <v>18.000000000000004</v>
      </c>
      <c r="AQ147" s="5">
        <f t="shared" si="19"/>
        <v>23.190476190476193</v>
      </c>
    </row>
    <row r="148" spans="1:43" x14ac:dyDescent="0.45">
      <c r="A148" s="3">
        <v>38.799999999999997</v>
      </c>
      <c r="B148" s="3">
        <v>16</v>
      </c>
      <c r="C148" s="3">
        <v>13</v>
      </c>
      <c r="D148" s="3">
        <v>25</v>
      </c>
      <c r="F148" s="3">
        <v>38.799999999999997</v>
      </c>
      <c r="G148" s="3">
        <v>14</v>
      </c>
      <c r="H148" s="3">
        <v>16</v>
      </c>
      <c r="I148" s="3">
        <v>16</v>
      </c>
      <c r="K148" s="3">
        <v>38.799999999999997</v>
      </c>
      <c r="L148" s="3">
        <v>14</v>
      </c>
      <c r="M148" s="3">
        <v>7</v>
      </c>
      <c r="N148" s="3">
        <v>17</v>
      </c>
      <c r="P148" s="3">
        <v>38.799999999999997</v>
      </c>
      <c r="Q148" s="3">
        <v>12</v>
      </c>
      <c r="R148" s="3">
        <v>11</v>
      </c>
      <c r="S148" s="3">
        <v>17</v>
      </c>
      <c r="U148" s="3">
        <v>38.799999999999997</v>
      </c>
      <c r="V148" s="3">
        <v>16</v>
      </c>
      <c r="W148" s="3">
        <v>15</v>
      </c>
      <c r="X148" s="3">
        <v>26</v>
      </c>
      <c r="Z148" s="3">
        <v>38.799999999999997</v>
      </c>
      <c r="AA148" s="3">
        <v>20</v>
      </c>
      <c r="AB148" s="3">
        <v>22</v>
      </c>
      <c r="AC148" s="3">
        <v>22</v>
      </c>
      <c r="AE148" s="3">
        <v>38.799999999999997</v>
      </c>
      <c r="AF148" s="3">
        <v>75</v>
      </c>
      <c r="AG148" s="3">
        <v>95</v>
      </c>
      <c r="AH148" s="3">
        <v>124</v>
      </c>
      <c r="AJ148" s="3">
        <v>38.799999999999997</v>
      </c>
      <c r="AK148" s="5">
        <f>AVERAGE(B148,G148,L148,Q148,V148,AA148)</f>
        <v>15.333333333333334</v>
      </c>
      <c r="AL148" s="5">
        <f t="shared" si="16"/>
        <v>14</v>
      </c>
      <c r="AM148" s="5">
        <f t="shared" si="17"/>
        <v>20.5</v>
      </c>
      <c r="AO148" s="5">
        <f t="shared" si="20"/>
        <v>15.714285714285717</v>
      </c>
      <c r="AP148" s="5">
        <f t="shared" si="18"/>
        <v>18.642857142857142</v>
      </c>
      <c r="AQ148" s="5">
        <f t="shared" si="19"/>
        <v>23.166666666666668</v>
      </c>
    </row>
    <row r="149" spans="1:43" x14ac:dyDescent="0.45">
      <c r="A149" s="3">
        <v>39</v>
      </c>
      <c r="B149" s="3">
        <v>12</v>
      </c>
      <c r="C149" s="3">
        <v>20</v>
      </c>
      <c r="D149" s="3">
        <v>27</v>
      </c>
      <c r="F149" s="3">
        <v>39</v>
      </c>
      <c r="G149" s="3">
        <v>11</v>
      </c>
      <c r="H149" s="3">
        <v>16</v>
      </c>
      <c r="I149" s="3">
        <v>22</v>
      </c>
      <c r="K149" s="3">
        <v>39</v>
      </c>
      <c r="L149" s="3">
        <v>18</v>
      </c>
      <c r="M149" s="3">
        <v>13</v>
      </c>
      <c r="N149" s="3">
        <v>21</v>
      </c>
      <c r="P149" s="3">
        <v>39</v>
      </c>
      <c r="Q149" s="3">
        <v>10</v>
      </c>
      <c r="R149" s="3">
        <v>8</v>
      </c>
      <c r="S149" s="3">
        <v>26</v>
      </c>
      <c r="U149" s="3">
        <v>39</v>
      </c>
      <c r="V149" s="3">
        <v>12</v>
      </c>
      <c r="W149" s="3">
        <v>23</v>
      </c>
      <c r="X149" s="3">
        <v>22</v>
      </c>
      <c r="Z149" s="3">
        <v>39</v>
      </c>
      <c r="AA149" s="3">
        <v>13</v>
      </c>
      <c r="AB149" s="3">
        <v>12</v>
      </c>
      <c r="AC149" s="3">
        <v>30</v>
      </c>
      <c r="AE149" s="3">
        <v>39</v>
      </c>
      <c r="AF149" s="3">
        <v>74</v>
      </c>
      <c r="AG149" s="3">
        <v>94</v>
      </c>
      <c r="AH149" s="3">
        <v>129</v>
      </c>
      <c r="AJ149" s="3">
        <v>39</v>
      </c>
      <c r="AK149" s="5">
        <f t="shared" si="15"/>
        <v>12.666666666666666</v>
      </c>
      <c r="AL149" s="5">
        <f t="shared" si="16"/>
        <v>15.333333333333334</v>
      </c>
      <c r="AM149" s="5">
        <f t="shared" si="17"/>
        <v>24.666666666666668</v>
      </c>
      <c r="AO149" s="5">
        <f t="shared" si="20"/>
        <v>14.66666666666667</v>
      </c>
      <c r="AP149" s="5">
        <f t="shared" si="18"/>
        <v>18.809523809523814</v>
      </c>
      <c r="AQ149" s="5">
        <f t="shared" si="19"/>
        <v>23</v>
      </c>
    </row>
    <row r="150" spans="1:43" x14ac:dyDescent="0.45">
      <c r="A150" s="3">
        <v>39.200000000000003</v>
      </c>
      <c r="B150" s="3">
        <v>23</v>
      </c>
      <c r="C150" s="3">
        <v>18</v>
      </c>
      <c r="D150" s="3">
        <v>29</v>
      </c>
      <c r="F150" s="3">
        <v>39.200000000000003</v>
      </c>
      <c r="G150" s="3">
        <v>8</v>
      </c>
      <c r="H150" s="3">
        <v>18</v>
      </c>
      <c r="I150" s="3">
        <v>25</v>
      </c>
      <c r="K150" s="3">
        <v>39.200000000000003</v>
      </c>
      <c r="L150" s="3">
        <v>13</v>
      </c>
      <c r="M150" s="3">
        <v>15</v>
      </c>
      <c r="N150" s="3">
        <v>18</v>
      </c>
      <c r="P150" s="3">
        <v>39.200000000000003</v>
      </c>
      <c r="Q150" s="3">
        <v>20</v>
      </c>
      <c r="R150" s="3">
        <v>17</v>
      </c>
      <c r="S150" s="3">
        <v>16</v>
      </c>
      <c r="U150" s="3">
        <v>39.200000000000003</v>
      </c>
      <c r="V150" s="3">
        <v>9</v>
      </c>
      <c r="W150" s="3">
        <v>17</v>
      </c>
      <c r="X150" s="3">
        <v>25</v>
      </c>
      <c r="Z150" s="3">
        <v>39.200000000000003</v>
      </c>
      <c r="AA150" s="3">
        <v>15</v>
      </c>
      <c r="AB150" s="3">
        <v>18</v>
      </c>
      <c r="AC150" s="3">
        <v>27</v>
      </c>
      <c r="AE150" s="3">
        <v>39.200000000000003</v>
      </c>
      <c r="AF150" s="3">
        <v>77</v>
      </c>
      <c r="AG150" s="3">
        <v>122</v>
      </c>
      <c r="AH150" s="3">
        <v>117</v>
      </c>
      <c r="AJ150" s="3">
        <v>39.200000000000003</v>
      </c>
      <c r="AK150" s="5">
        <f t="shared" si="15"/>
        <v>14.666666666666666</v>
      </c>
      <c r="AL150" s="5">
        <f t="shared" si="16"/>
        <v>17.166666666666668</v>
      </c>
      <c r="AM150" s="5">
        <f t="shared" si="17"/>
        <v>23.333333333333332</v>
      </c>
      <c r="AO150" s="5">
        <f t="shared" si="20"/>
        <v>14</v>
      </c>
      <c r="AP150" s="5">
        <f t="shared" si="18"/>
        <v>18.023809523809526</v>
      </c>
      <c r="AQ150" s="5">
        <f t="shared" si="19"/>
        <v>22.642857142857142</v>
      </c>
    </row>
    <row r="151" spans="1:43" x14ac:dyDescent="0.45">
      <c r="A151" s="3">
        <v>39.4</v>
      </c>
      <c r="B151" s="3">
        <v>8</v>
      </c>
      <c r="C151" s="3">
        <v>25</v>
      </c>
      <c r="D151" s="3">
        <v>24</v>
      </c>
      <c r="F151" s="3">
        <v>39.4</v>
      </c>
      <c r="G151" s="3">
        <v>15</v>
      </c>
      <c r="H151" s="3">
        <v>13</v>
      </c>
      <c r="I151" s="3">
        <v>24</v>
      </c>
      <c r="K151" s="3">
        <v>39.4</v>
      </c>
      <c r="L151" s="3">
        <v>12</v>
      </c>
      <c r="M151" s="3">
        <v>23</v>
      </c>
      <c r="N151" s="3">
        <v>19</v>
      </c>
      <c r="P151" s="3">
        <v>39.4</v>
      </c>
      <c r="Q151" s="3">
        <v>17</v>
      </c>
      <c r="R151" s="3">
        <v>17</v>
      </c>
      <c r="S151" s="3">
        <v>25</v>
      </c>
      <c r="U151" s="3">
        <v>39.4</v>
      </c>
      <c r="V151" s="3">
        <v>8</v>
      </c>
      <c r="W151" s="3">
        <v>32</v>
      </c>
      <c r="X151" s="3">
        <v>23</v>
      </c>
      <c r="Z151" s="3">
        <v>39.4</v>
      </c>
      <c r="AA151" s="3">
        <v>19</v>
      </c>
      <c r="AB151" s="3">
        <v>22</v>
      </c>
      <c r="AC151" s="3">
        <v>22</v>
      </c>
      <c r="AE151" s="3">
        <v>39.4</v>
      </c>
      <c r="AF151" s="3">
        <v>83</v>
      </c>
      <c r="AG151" s="3">
        <v>85</v>
      </c>
      <c r="AH151" s="3">
        <v>123</v>
      </c>
      <c r="AJ151" s="3">
        <v>39.4</v>
      </c>
      <c r="AK151" s="5">
        <f t="shared" si="15"/>
        <v>13.166666666666666</v>
      </c>
      <c r="AL151" s="5">
        <f t="shared" si="16"/>
        <v>22</v>
      </c>
      <c r="AM151" s="5">
        <f t="shared" si="17"/>
        <v>22.833333333333332</v>
      </c>
      <c r="AO151" s="5">
        <f>AVERAGE(AK148:AK154)</f>
        <v>13.714285714285714</v>
      </c>
      <c r="AP151" s="5">
        <f>AVERAGE(AL148:AL154)</f>
        <v>16.880952380952383</v>
      </c>
      <c r="AQ151" s="5">
        <f t="shared" si="19"/>
        <v>22.309523809523807</v>
      </c>
    </row>
    <row r="152" spans="1:43" x14ac:dyDescent="0.45">
      <c r="A152" s="3">
        <v>39.5</v>
      </c>
      <c r="B152" s="3">
        <v>11</v>
      </c>
      <c r="C152" s="3">
        <v>13</v>
      </c>
      <c r="D152" s="3">
        <v>23</v>
      </c>
      <c r="F152" s="3">
        <v>39.5</v>
      </c>
      <c r="G152" s="3">
        <v>11</v>
      </c>
      <c r="H152" s="3">
        <v>19</v>
      </c>
      <c r="I152" s="3">
        <v>22</v>
      </c>
      <c r="K152" s="3">
        <v>39.5</v>
      </c>
      <c r="L152" s="3">
        <v>12</v>
      </c>
      <c r="M152" s="3">
        <v>21</v>
      </c>
      <c r="N152" s="3">
        <v>22</v>
      </c>
      <c r="P152" s="3">
        <v>39.5</v>
      </c>
      <c r="Q152" s="3">
        <v>11</v>
      </c>
      <c r="R152" s="3">
        <v>15</v>
      </c>
      <c r="S152" s="3">
        <v>25</v>
      </c>
      <c r="U152" s="3">
        <v>39.5</v>
      </c>
      <c r="V152" s="3">
        <v>7</v>
      </c>
      <c r="W152" s="3">
        <v>18</v>
      </c>
      <c r="X152" s="3">
        <v>8</v>
      </c>
      <c r="Z152" s="3">
        <v>39.5</v>
      </c>
      <c r="AA152" s="3">
        <v>15</v>
      </c>
      <c r="AB152" s="3">
        <v>21</v>
      </c>
      <c r="AC152" s="3">
        <v>26</v>
      </c>
      <c r="AE152" s="3">
        <v>39.5</v>
      </c>
      <c r="AF152" s="3">
        <v>92</v>
      </c>
      <c r="AG152" s="3">
        <v>106</v>
      </c>
      <c r="AH152" s="3">
        <v>121</v>
      </c>
      <c r="AJ152" s="3">
        <v>39.5</v>
      </c>
      <c r="AK152" s="5">
        <f t="shared" si="15"/>
        <v>11.166666666666666</v>
      </c>
      <c r="AL152" s="5">
        <f t="shared" si="16"/>
        <v>17.833333333333332</v>
      </c>
      <c r="AM152" s="5">
        <f t="shared" si="17"/>
        <v>21</v>
      </c>
      <c r="AO152">
        <v>11.166666666666666</v>
      </c>
      <c r="AP152">
        <v>17.833333333333332</v>
      </c>
      <c r="AQ152">
        <v>21</v>
      </c>
    </row>
    <row r="153" spans="1:43" x14ac:dyDescent="0.45">
      <c r="A153" s="3">
        <v>39.799999999999997</v>
      </c>
      <c r="B153" s="3">
        <v>15</v>
      </c>
      <c r="C153" s="3">
        <v>14</v>
      </c>
      <c r="D153" s="3">
        <v>24</v>
      </c>
      <c r="F153" s="3">
        <v>39.799999999999997</v>
      </c>
      <c r="G153" s="3">
        <v>13</v>
      </c>
      <c r="H153" s="3">
        <v>17</v>
      </c>
      <c r="I153" s="3">
        <v>20</v>
      </c>
      <c r="K153" s="3">
        <v>39.799999999999997</v>
      </c>
      <c r="L153" s="3">
        <v>14</v>
      </c>
      <c r="M153" s="3">
        <v>18</v>
      </c>
      <c r="N153" s="3">
        <v>20</v>
      </c>
      <c r="P153" s="3">
        <v>39.799999999999997</v>
      </c>
      <c r="Q153" s="3">
        <v>11</v>
      </c>
      <c r="R153" s="3">
        <v>25</v>
      </c>
      <c r="S153" s="3">
        <v>34</v>
      </c>
      <c r="U153" s="3">
        <v>39.799999999999997</v>
      </c>
      <c r="V153" s="3">
        <v>14</v>
      </c>
      <c r="W153" s="3">
        <v>12</v>
      </c>
      <c r="X153" s="3">
        <v>18</v>
      </c>
      <c r="Z153" s="3">
        <v>39.799999999999997</v>
      </c>
      <c r="AA153" s="3">
        <v>17</v>
      </c>
      <c r="AB153" s="3">
        <v>14</v>
      </c>
      <c r="AC153" s="3">
        <v>15</v>
      </c>
      <c r="AE153" s="3">
        <v>39.799999999999997</v>
      </c>
      <c r="AF153" s="3">
        <v>62</v>
      </c>
      <c r="AG153" s="3">
        <v>77</v>
      </c>
      <c r="AH153" s="3">
        <v>124</v>
      </c>
      <c r="AJ153" s="3">
        <v>39.799999999999997</v>
      </c>
      <c r="AK153" s="5">
        <f t="shared" si="15"/>
        <v>14</v>
      </c>
      <c r="AL153" s="5">
        <f t="shared" si="16"/>
        <v>16.666666666666668</v>
      </c>
      <c r="AM153" s="5">
        <f t="shared" si="17"/>
        <v>21.833333333333332</v>
      </c>
      <c r="AO153">
        <v>14</v>
      </c>
      <c r="AP153">
        <v>16.666666666666668</v>
      </c>
      <c r="AQ153">
        <v>21.833333333333332</v>
      </c>
    </row>
    <row r="154" spans="1:43" x14ac:dyDescent="0.45">
      <c r="A154" s="3">
        <v>40</v>
      </c>
      <c r="B154" s="3">
        <v>13</v>
      </c>
      <c r="C154" s="3">
        <v>21</v>
      </c>
      <c r="D154" s="3">
        <v>24</v>
      </c>
      <c r="F154" s="3">
        <v>40</v>
      </c>
      <c r="G154" s="3">
        <v>13</v>
      </c>
      <c r="H154" s="3">
        <v>14</v>
      </c>
      <c r="I154" s="3">
        <v>26</v>
      </c>
      <c r="K154" s="3">
        <v>40</v>
      </c>
      <c r="L154" s="3">
        <v>21</v>
      </c>
      <c r="M154" s="3">
        <v>12</v>
      </c>
      <c r="N154" s="3">
        <v>22</v>
      </c>
      <c r="P154" s="3">
        <v>40</v>
      </c>
      <c r="Q154" s="3">
        <v>13</v>
      </c>
      <c r="R154" s="3">
        <v>13</v>
      </c>
      <c r="S154" s="3">
        <v>15</v>
      </c>
      <c r="U154" s="3">
        <v>40</v>
      </c>
      <c r="V154" s="3">
        <v>14</v>
      </c>
      <c r="W154" s="3">
        <v>17</v>
      </c>
      <c r="X154" s="3">
        <v>29</v>
      </c>
      <c r="Z154" s="3">
        <v>40</v>
      </c>
      <c r="AA154" s="3">
        <v>16</v>
      </c>
      <c r="AB154" s="3">
        <v>14</v>
      </c>
      <c r="AC154" s="3">
        <v>16</v>
      </c>
      <c r="AE154" s="3">
        <v>40</v>
      </c>
      <c r="AF154" s="3">
        <v>87</v>
      </c>
      <c r="AG154" s="3">
        <v>111</v>
      </c>
      <c r="AH154" s="3">
        <v>103</v>
      </c>
      <c r="AJ154" s="3">
        <v>40</v>
      </c>
      <c r="AK154" s="5">
        <f t="shared" si="15"/>
        <v>15</v>
      </c>
      <c r="AL154" s="5">
        <f t="shared" si="16"/>
        <v>15.166666666666666</v>
      </c>
      <c r="AM154" s="5">
        <f t="shared" si="17"/>
        <v>22</v>
      </c>
      <c r="AO154">
        <v>15</v>
      </c>
      <c r="AP154">
        <v>15.166666666666666</v>
      </c>
      <c r="AQ154">
        <v>22</v>
      </c>
    </row>
    <row r="175" spans="55:58" x14ac:dyDescent="0.45">
      <c r="BC175" t="s">
        <v>26</v>
      </c>
      <c r="BF175">
        <f>AVERAGE(AO4:AO24)</f>
        <v>0.82086167800453513</v>
      </c>
    </row>
    <row r="179" spans="56:58" x14ac:dyDescent="0.45">
      <c r="BD179" t="s">
        <v>22</v>
      </c>
      <c r="BF179">
        <f>(94.435+BF175)/7.0154</f>
        <v>13.578108401232223</v>
      </c>
    </row>
    <row r="180" spans="56:58" x14ac:dyDescent="0.45">
      <c r="BD180" t="s">
        <v>23</v>
      </c>
      <c r="BF180">
        <f>BF179/2</f>
        <v>6.7890542006161114</v>
      </c>
    </row>
    <row r="182" spans="56:58" x14ac:dyDescent="0.45">
      <c r="BD182" t="s">
        <v>24</v>
      </c>
      <c r="BF182">
        <f>2*2.008*0.0000000001*SIN(RADIANS(BF180))</f>
        <v>4.7474850743445061E-11</v>
      </c>
    </row>
    <row r="184" spans="56:58" x14ac:dyDescent="0.45">
      <c r="BD184" t="s">
        <v>25</v>
      </c>
      <c r="BF184">
        <f>(BF182*1.602*0.0000000000000000001*250000)/299792458</f>
        <v>6.3422802059782797E-33</v>
      </c>
    </row>
  </sheetData>
  <mergeCells count="13">
    <mergeCell ref="F2:I2"/>
    <mergeCell ref="U2:X2"/>
    <mergeCell ref="Z2:AC2"/>
    <mergeCell ref="A1:AH1"/>
    <mergeCell ref="K2:N2"/>
    <mergeCell ref="A2:D2"/>
    <mergeCell ref="AE2:AH2"/>
    <mergeCell ref="P2:S2"/>
    <mergeCell ref="AK2:AM2"/>
    <mergeCell ref="AO2:AQ2"/>
    <mergeCell ref="AT1:AY1"/>
    <mergeCell ref="AT2:AV2"/>
    <mergeCell ref="AW2:AY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Bhar</cp:lastModifiedBy>
  <dcterms:created xsi:type="dcterms:W3CDTF">2026-03-26T09:25:04Z</dcterms:created>
  <dcterms:modified xsi:type="dcterms:W3CDTF">2026-04-08T06:43:10Z</dcterms:modified>
</cp:coreProperties>
</file>